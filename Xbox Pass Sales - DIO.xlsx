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briela\Downloads\"/>
    </mc:Choice>
  </mc:AlternateContent>
  <xr:revisionPtr revIDLastSave="0" documentId="8_{1C11DD26-C1AD-4503-99CC-DEED89086F6D}" xr6:coauthVersionLast="47" xr6:coauthVersionMax="47" xr10:uidLastSave="{00000000-0000-0000-0000-000000000000}"/>
  <bookViews>
    <workbookView xWindow="-120" yWindow="-120" windowWidth="29040" windowHeight="15720" tabRatio="190" firstSheet="4" activeTab="4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9"/>
  <pivotCaches>
    <pivotCache cacheId="8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3" l="1"/>
  <c r="E23" i="3"/>
</calcChain>
</file>

<file path=xl/sharedStrings.xml><?xml version="1.0" encoding="utf-8"?>
<sst xmlns="http://schemas.openxmlformats.org/spreadsheetml/2006/main" count="2233" uniqueCount="324">
  <si>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</si>
  <si>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</si>
  <si>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</si>
  <si>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</si>
  <si>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</si>
  <si>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</si>
  <si>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</si>
  <si>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</si>
  <si>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</si>
  <si>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</si>
  <si>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</si>
  <si>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</si>
  <si>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</si>
  <si>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</si>
  <si>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</si>
  <si>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</si>
  <si>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</si>
  <si>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</si>
  <si>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</si>
  <si>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</si>
  <si>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</si>
  <si>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</si>
  <si>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</si>
  <si>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</si>
  <si>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</si>
  <si>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</si>
  <si>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</si>
  <si>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</si>
  <si>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</si>
  <si>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</si>
  <si>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</si>
  <si>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</si>
  <si>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</si>
  <si>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</si>
  <si>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</si>
  <si>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</si>
  <si>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</si>
  <si>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</si>
  <si>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</si>
  <si>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</si>
  <si>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</si>
  <si>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</si>
  <si>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</si>
  <si>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</si>
  <si>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</si>
  <si>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</si>
  <si>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</si>
  <si>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</si>
  <si>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</si>
  <si>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</si>
  <si>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</si>
  <si>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</si>
  <si>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</si>
  <si>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</si>
  <si>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</si>
  <si>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</si>
  <si>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</si>
  <si>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</si>
  <si>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</si>
  <si>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</si>
  <si>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</si>
  <si>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</si>
  <si>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</si>
  <si>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</si>
  <si>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</si>
  <si>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</si>
  <si>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</si>
  <si>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</si>
  <si>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</si>
  <si>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</si>
  <si>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</si>
  <si>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</si>
  <si>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</si>
  <si>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</si>
  <si>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</si>
  <si>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</si>
  <si>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</si>
  <si>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</si>
  <si>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</si>
  <si>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</si>
  <si>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</si>
  <si>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</si>
  <si>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</si>
  <si>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</si>
  <si>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</si>
  <si>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</si>
  <si>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</si>
  <si>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</si>
  <si>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</si>
  <si>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</si>
  <si>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</si>
  <si>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</si>
  <si>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</si>
  <si>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</si>
  <si>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</si>
  <si>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</si>
  <si>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</si>
  <si>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</si>
  <si>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</si>
  <si>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</si>
  <si>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</si>
  <si>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</si>
  <si>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</si>
  <si>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</si>
  <si>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</si>
  <si>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</si>
  <si>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</si>
  <si>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</si>
  <si>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</si>
  <si>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</si>
  <si>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</si>
  <si>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</si>
  <si>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</si>
  <si>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</si>
  <si>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</si>
  <si>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</si>
  <si>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</si>
  <si>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</si>
  <si>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</si>
  <si>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</si>
  <si>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</si>
  <si>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</si>
  <si>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</si>
  <si>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</si>
  <si>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</si>
  <si>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</si>
  <si>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</si>
  <si>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</si>
  <si>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</si>
  <si>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</si>
  <si>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</si>
  <si>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</si>
  <si>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</si>
  <si>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</si>
  <si>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</si>
  <si>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</si>
  <si>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</si>
  <si>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</si>
  <si>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</si>
  <si>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</si>
  <si>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</si>
  <si>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</si>
  <si>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</si>
  <si>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</si>
  <si>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</si>
  <si>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</si>
  <si>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</si>
  <si>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</si>
  <si>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</si>
  <si>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</si>
  <si>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</si>
  <si>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</si>
  <si>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</si>
  <si>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</si>
  <si>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</si>
  <si>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</si>
  <si>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</si>
  <si>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</si>
  <si>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</si>
  <si>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</si>
  <si>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</si>
  <si>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</si>
  <si>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</si>
  <si>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</si>
  <si>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</si>
  <si>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</si>
  <si>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</si>
  <si>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</si>
  <si>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</si>
  <si>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</si>
  <si>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</si>
  <si>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</si>
  <si>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</si>
  <si>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</si>
  <si>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</si>
  <si>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</si>
  <si>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</si>
  <si>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</si>
  <si>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</si>
  <si>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</si>
  <si>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</si>
  <si>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</si>
  <si>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</si>
  <si>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</si>
  <si>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</si>
  <si>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</si>
  <si>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</si>
  <si>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</si>
  <si>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</si>
  <si>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</si>
  <si>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</si>
  <si>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</si>
  <si>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</si>
  <si>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</si>
  <si>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</si>
  <si>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</si>
  <si>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</si>
  <si>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</si>
  <si>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</si>
  <si>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</si>
  <si>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</si>
  <si>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</si>
  <si>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</si>
  <si>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</si>
  <si>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</si>
  <si>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</si>
  <si>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</si>
  <si>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</si>
  <si>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</si>
  <si>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</si>
  <si>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</si>
  <si>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</si>
  <si>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</si>
  <si>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</si>
  <si>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</si>
  <si>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</si>
  <si>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</si>
  <si>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</si>
  <si>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</si>
  <si>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</si>
  <si>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</si>
  <si>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</si>
  <si>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</si>
  <si>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</si>
  <si>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</si>
  <si>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</si>
  <si>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</si>
  <si>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</si>
  <si>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</si>
  <si>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</si>
  <si>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</si>
  <si>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</si>
  <si>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</si>
  <si>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</si>
  <si>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</si>
  <si>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</si>
  <si>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</si>
  <si>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</si>
  <si>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</si>
  <si>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</si>
  <si>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</si>
  <si>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</si>
  <si>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</si>
  <si>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</si>
  <si>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</si>
  <si>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</si>
  <si>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</si>
  <si>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</si>
  <si>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</si>
  <si>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</si>
  <si>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</si>
  <si>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</si>
  <si>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</si>
  <si>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</si>
  <si>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</si>
  <si>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</si>
  <si>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</si>
  <si>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</si>
  <si>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</si>
  <si>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</si>
  <si>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</si>
  <si>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</si>
  <si>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</si>
  <si>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</si>
  <si>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</si>
  <si>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</si>
  <si>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</si>
  <si>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</si>
  <si>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</si>
  <si>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</si>
  <si>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</si>
  <si>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</si>
  <si>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</si>
  <si>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</si>
  <si>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</si>
  <si>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</si>
  <si>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</si>
  <si>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</si>
  <si>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</si>
  <si>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</si>
  <si>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</si>
  <si>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</si>
  <si>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</si>
  <si>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</si>
  <si>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</si>
  <si>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</si>
  <si>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</si>
  <si>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</si>
  <si>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</si>
  <si>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</si>
  <si>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</si>
  <si>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</si>
  <si>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</si>
  <si>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</si>
  <si>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</si>
  <si>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</si>
  <si>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</si>
  <si>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</si>
  <si>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</si>
  <si>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</si>
  <si>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</si>
  <si>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</si>
  <si>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</si>
  <si>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</si>
  <si>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</si>
  <si>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</si>
  <si>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</si>
  <si>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</si>
  <si>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</si>
  <si>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</si>
  <si>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</si>
  <si>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</si>
  <si>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</si>
  <si>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rPr>
        <u/>
        <sz val="11"/>
        <color theme="1"/>
        <rFont val="Aptos Narrow"/>
        <family val="2"/>
        <scheme val="minor"/>
      </rPr>
      <t xml:space="preserve">Pergunta de Negócio 1 </t>
    </r>
    <r>
      <rPr>
        <sz val="11"/>
        <color theme="1"/>
        <rFont val="Aptos Narrow"/>
        <family val="2"/>
        <scheme val="minor"/>
      </rPr>
      <t xml:space="preserve">- Qual faturamento do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>(contendo todas as assinaturas agregadas)?</t>
    </r>
  </si>
  <si>
    <t>Rótulos de Linha</t>
  </si>
  <si>
    <t>Total Geral</t>
  </si>
  <si>
    <t>Soma de Total Value</t>
  </si>
  <si>
    <r>
      <rPr>
        <u/>
        <sz val="11"/>
        <color theme="1"/>
        <rFont val="Aptos Narrow"/>
        <family val="2"/>
        <scheme val="minor"/>
      </rPr>
      <t>Pergunta de Negócio 2</t>
    </r>
    <r>
      <rPr>
        <sz val="11"/>
        <color theme="1"/>
        <rFont val="Aptos Narrow"/>
        <family val="2"/>
        <scheme val="minor"/>
      </rPr>
      <t xml:space="preserve"> - Qual faturamento do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, separando por </t>
    </r>
    <r>
      <rPr>
        <b/>
        <sz val="11"/>
        <color theme="1"/>
        <rFont val="Aptos Narrow"/>
        <family val="2"/>
        <scheme val="minor"/>
      </rPr>
      <t>auto renovação não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por auto renovação?</t>
    </r>
  </si>
  <si>
    <t>XBOX GAME PASS SUBSCRIPTIONS SALES</t>
  </si>
  <si>
    <r>
      <rPr>
        <u/>
        <sz val="11"/>
        <color theme="1"/>
        <rFont val="Aptos Narrow"/>
        <family val="2"/>
        <scheme val="minor"/>
      </rPr>
      <t xml:space="preserve">Pergunta de Negócio 3 </t>
    </r>
    <r>
      <rPr>
        <sz val="11"/>
        <color theme="1"/>
        <rFont val="Aptos Narrow"/>
        <family val="2"/>
        <scheme val="minor"/>
      </rPr>
      <t xml:space="preserve">-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</t>
    </r>
    <r>
      <rPr>
        <b/>
        <sz val="11"/>
        <color theme="1"/>
        <rFont val="Aptos Narrow"/>
        <family val="2"/>
        <scheme val="minor"/>
      </rPr>
      <t>EA Play</t>
    </r>
  </si>
  <si>
    <t>Soma de EA Play Season Pass</t>
  </si>
  <si>
    <r>
      <rPr>
        <u/>
        <sz val="11"/>
        <color theme="1"/>
        <rFont val="Aptos Narrow"/>
        <family val="2"/>
        <scheme val="minor"/>
      </rPr>
      <t xml:space="preserve">Pergunta de Negócio 4 </t>
    </r>
    <r>
      <rPr>
        <sz val="11"/>
        <color theme="1"/>
        <rFont val="Aptos Narrow"/>
        <family val="2"/>
        <scheme val="minor"/>
      </rPr>
      <t xml:space="preserve">-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de Assinaturas do </t>
    </r>
    <r>
      <rPr>
        <b/>
        <sz val="11"/>
        <color theme="1"/>
        <rFont val="Aptos Narrow"/>
        <family val="2"/>
        <scheme val="minor"/>
      </rPr>
      <t>Minecraft Season Pass</t>
    </r>
  </si>
  <si>
    <t>Detalhes do Soma de EA Play Season Pass - Plan: Ultimate, Subscription Type: Quarterly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</si>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</sst>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6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5" fillId="0" borderId="2" xfId="1" applyFont="1" applyBorder="1"/>
    <xf numFmtId="166" fontId="0" fillId="0" borderId="0" xfId="0" applyNumberFormat="1"/>
    <xf numFmtId="14" fontId="0" fillId="0" borderId="0" xfId="0" applyNumberFormat="1"/>
    <xf numFmtId="0" fontId="3" fillId="0" borderId="0" xfId="0" applyFont="1"/>
    <xf numFmtId="0" fontId="0" fillId="0" borderId="2" xfId="0" applyBorder="1"/>
    <xf numFmtId="0" fontId="5" fillId="0" borderId="2" xfId="1" applyFont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17">
    <dxf>
      <numFmt numFmtId="19" formatCode="dd/mm/yyyy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3018B829-CDC0-4525-900A-02B9143CFE26}">
      <tableStyleElement type="wholeTable" dxfId="2"/>
      <tableStyleElement type="headerRow" dxfId="1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Pass Sales - DIO.xlsx]C̳álculos!tbl_annual_total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F-475B-892E-EF8798168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2785775"/>
        <c:axId val="1454256047"/>
      </c:barChart>
      <c:catAx>
        <c:axId val="1972785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4256047"/>
        <c:crosses val="autoZero"/>
        <c:auto val="1"/>
        <c:lblAlgn val="ctr"/>
        <c:lblOffset val="100"/>
        <c:noMultiLvlLbl val="0"/>
      </c:catAx>
      <c:valAx>
        <c:axId val="145425604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7278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2035969</xdr:colOff>
      <xdr:row>0</xdr:row>
      <xdr:rowOff>0</xdr:rowOff>
    </xdr:from>
    <xdr:to>
      <xdr:col>2</xdr:col>
      <xdr:colOff>547686</xdr:colOff>
      <xdr:row>5</xdr:row>
      <xdr:rowOff>55834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676698-9498-4943-9551-5350C678F4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2239"/>
        <a:stretch>
          <a:fillRect/>
        </a:stretch>
      </xdr:blipFill>
      <xdr:spPr>
        <a:xfrm>
          <a:off x="2035969" y="0"/>
          <a:ext cx="892967" cy="1139303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7</xdr:row>
      <xdr:rowOff>238123</xdr:rowOff>
    </xdr:from>
    <xdr:to>
      <xdr:col>0</xdr:col>
      <xdr:colOff>2024063</xdr:colOff>
      <xdr:row>22</xdr:row>
      <xdr:rowOff>107155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19B8EB57-938D-4C38-98C7-476720F852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1571623"/>
              <a:ext cx="2024062" cy="29527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2</xdr:col>
      <xdr:colOff>23811</xdr:colOff>
      <xdr:row>7</xdr:row>
      <xdr:rowOff>21431</xdr:rowOff>
    </xdr:from>
    <xdr:to>
      <xdr:col>11</xdr:col>
      <xdr:colOff>0</xdr:colOff>
      <xdr:row>15</xdr:row>
      <xdr:rowOff>21430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C022898F-A71A-E09B-4E23-76C0F0C82C6A}"/>
            </a:ext>
          </a:extLst>
        </xdr:cNvPr>
        <xdr:cNvGrpSpPr/>
      </xdr:nvGrpSpPr>
      <xdr:grpSpPr>
        <a:xfrm>
          <a:off x="2405061" y="1354931"/>
          <a:ext cx="5441158" cy="1750218"/>
          <a:chOff x="2405061" y="1369219"/>
          <a:chExt cx="5441158" cy="1750218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330CDB7C-68E2-4917-2485-BEE9EEABBB49}"/>
              </a:ext>
            </a:extLst>
          </xdr:cNvPr>
          <xdr:cNvGrpSpPr/>
        </xdr:nvGrpSpPr>
        <xdr:grpSpPr>
          <a:xfrm>
            <a:off x="2416969" y="1369219"/>
            <a:ext cx="5429250" cy="1750218"/>
            <a:chOff x="2416969" y="1369219"/>
            <a:chExt cx="5429250" cy="1750218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0275FDA3-B0B4-8ADC-030D-6A226C0CC2D6}"/>
                </a:ext>
              </a:extLst>
            </xdr:cNvPr>
            <xdr:cNvSpPr/>
          </xdr:nvSpPr>
          <xdr:spPr>
            <a:xfrm>
              <a:off x="2416969" y="1369219"/>
              <a:ext cx="5429250" cy="1750218"/>
            </a:xfrm>
            <a:prstGeom prst="roundRect">
              <a:avLst>
                <a:gd name="adj" fmla="val 850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23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E543EA8F-8D99-4AE2-972F-80AB2AE8C672}"/>
                </a:ext>
              </a:extLst>
            </xdr:cNvPr>
            <xdr:cNvSpPr/>
          </xdr:nvSpPr>
          <xdr:spPr>
            <a:xfrm>
              <a:off x="4441032" y="1958579"/>
              <a:ext cx="3309937" cy="110728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65B3E60C-6450-441B-BEEE-17772A223392}" type="TxLink">
                <a:rPr lang="en-US" sz="44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R$ 990,00</a:t>
              </a:fld>
              <a:endParaRPr lang="en-US" sz="4400">
                <a:solidFill>
                  <a:srgbClr val="22C55E"/>
                </a:solidFill>
              </a:endParaRPr>
            </a:p>
          </xdr:txBody>
        </xdr: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248B2D6D-1984-4816-BA19-E764233B8F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917031" y="1831181"/>
              <a:ext cx="1219200" cy="1219200"/>
            </a:xfrm>
            <a:prstGeom prst="rect">
              <a:avLst/>
            </a:prstGeom>
          </xdr:spPr>
        </xdr:pic>
      </xdr:grpSp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70166931-86EE-2321-885F-272186FEC071}"/>
              </a:ext>
            </a:extLst>
          </xdr:cNvPr>
          <xdr:cNvSpPr/>
        </xdr:nvSpPr>
        <xdr:spPr>
          <a:xfrm>
            <a:off x="2405061" y="1369219"/>
            <a:ext cx="5441157" cy="50006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i ui"/>
              </a:rPr>
              <a:t>TOTAL SUBSCRIPTION EA PLAY</a:t>
            </a:r>
            <a:r>
              <a:rPr lang="pt-BR" sz="1400" b="1" baseline="0">
                <a:latin typeface="Segoi ui"/>
              </a:rPr>
              <a:t> SEASON PASS</a:t>
            </a:r>
            <a:endParaRPr lang="pt-BR" sz="1400" b="1">
              <a:latin typeface="Segoi ui"/>
            </a:endParaRPr>
          </a:p>
        </xdr:txBody>
      </xdr:sp>
    </xdr:grpSp>
    <xdr:clientData/>
  </xdr:twoCellAnchor>
  <xdr:twoCellAnchor>
    <xdr:from>
      <xdr:col>11</xdr:col>
      <xdr:colOff>247649</xdr:colOff>
      <xdr:row>7</xdr:row>
      <xdr:rowOff>21431</xdr:rowOff>
    </xdr:from>
    <xdr:to>
      <xdr:col>20</xdr:col>
      <xdr:colOff>390526</xdr:colOff>
      <xdr:row>15</xdr:row>
      <xdr:rowOff>63102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569A479B-4A27-189A-D53D-41051BB9A4AB}"/>
            </a:ext>
          </a:extLst>
        </xdr:cNvPr>
        <xdr:cNvGrpSpPr/>
      </xdr:nvGrpSpPr>
      <xdr:grpSpPr>
        <a:xfrm>
          <a:off x="8093868" y="1354931"/>
          <a:ext cx="5441158" cy="1791890"/>
          <a:chOff x="8093868" y="1354931"/>
          <a:chExt cx="5441158" cy="1791890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81FC305A-0B21-4A6C-8C8C-522B15A3963F}"/>
              </a:ext>
            </a:extLst>
          </xdr:cNvPr>
          <xdr:cNvGrpSpPr/>
        </xdr:nvGrpSpPr>
        <xdr:grpSpPr>
          <a:xfrm>
            <a:off x="8093868" y="1354931"/>
            <a:ext cx="5441158" cy="1791890"/>
            <a:chOff x="2405061" y="1369219"/>
            <a:chExt cx="5441158" cy="1791890"/>
          </a:xfrm>
        </xdr:grpSpPr>
        <xdr:grpSp>
          <xdr:nvGrpSpPr>
            <xdr:cNvPr id="14" name="Agrupar 13">
              <a:extLst>
                <a:ext uri="{FF2B5EF4-FFF2-40B4-BE49-F238E27FC236}">
                  <a16:creationId xmlns:a16="http://schemas.microsoft.com/office/drawing/2014/main" id="{04A6540C-5AA6-808B-8E38-6AA693B7E066}"/>
                </a:ext>
              </a:extLst>
            </xdr:cNvPr>
            <xdr:cNvGrpSpPr/>
          </xdr:nvGrpSpPr>
          <xdr:grpSpPr>
            <a:xfrm>
              <a:off x="2416969" y="1369219"/>
              <a:ext cx="5429250" cy="1791890"/>
              <a:chOff x="2416969" y="1369219"/>
              <a:chExt cx="5429250" cy="1791890"/>
            </a:xfrm>
          </xdr:grpSpPr>
          <xdr:sp macro="" textlink="">
            <xdr:nvSpPr>
              <xdr:cNvPr id="16" name="Retângulo: Cantos Arredondados 15">
                <a:extLst>
                  <a:ext uri="{FF2B5EF4-FFF2-40B4-BE49-F238E27FC236}">
                    <a16:creationId xmlns:a16="http://schemas.microsoft.com/office/drawing/2014/main" id="{D827AEC3-4752-7CFC-FEAB-8B808E3EB3F7}"/>
                  </a:ext>
                </a:extLst>
              </xdr:cNvPr>
              <xdr:cNvSpPr/>
            </xdr:nvSpPr>
            <xdr:spPr>
              <a:xfrm>
                <a:off x="2416969" y="1369219"/>
                <a:ext cx="5429250" cy="1750218"/>
              </a:xfrm>
              <a:prstGeom prst="roundRect">
                <a:avLst>
                  <a:gd name="adj" fmla="val 8504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E34">
            <xdr:nvSpPr>
              <xdr:cNvPr id="17" name="Retângulo: Cantos Arredondados 16">
                <a:extLst>
                  <a:ext uri="{FF2B5EF4-FFF2-40B4-BE49-F238E27FC236}">
                    <a16:creationId xmlns:a16="http://schemas.microsoft.com/office/drawing/2014/main" id="{19942AAA-6F6E-48C5-22BA-0C823C2ABAEE}"/>
                  </a:ext>
                </a:extLst>
              </xdr:cNvPr>
              <xdr:cNvSpPr/>
            </xdr:nvSpPr>
            <xdr:spPr>
              <a:xfrm>
                <a:off x="4393407" y="2053829"/>
                <a:ext cx="3309937" cy="1107280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fld id="{5598D8C7-87A8-48B9-B433-739F851D3ACB}" type="TxLink">
                  <a:rPr lang="en-US" sz="4400" b="0" i="0" u="none" strike="noStrike">
                    <a:solidFill>
                      <a:srgbClr val="22C55E"/>
                    </a:solidFill>
                    <a:latin typeface="Aptos Narrow"/>
                  </a:rPr>
                  <a:t>R$ 1.140,00</a:t>
                </a:fld>
                <a:endParaRPr lang="en-US" sz="4400">
                  <a:solidFill>
                    <a:srgbClr val="22C55E"/>
                  </a:solidFill>
                </a:endParaRPr>
              </a:p>
            </xdr:txBody>
          </xdr:sp>
        </xdr:grpSp>
        <xdr:sp macro="" textlink="">
          <xdr:nvSpPr>
            <xdr:cNvPr id="15" name="Retângulo: Cantos Superiores Arredondados 14">
              <a:extLst>
                <a:ext uri="{FF2B5EF4-FFF2-40B4-BE49-F238E27FC236}">
                  <a16:creationId xmlns:a16="http://schemas.microsoft.com/office/drawing/2014/main" id="{7D050EF1-3319-F03E-900D-89438D74F358}"/>
                </a:ext>
              </a:extLst>
            </xdr:cNvPr>
            <xdr:cNvSpPr/>
          </xdr:nvSpPr>
          <xdr:spPr>
            <a:xfrm>
              <a:off x="2405061" y="1369219"/>
              <a:ext cx="5441157" cy="50006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i ui"/>
                </a:rPr>
                <a:t>TOTAL SUBSCRIPTION MINECRAFT</a:t>
              </a:r>
              <a:r>
                <a:rPr lang="pt-BR" sz="1400" b="1" baseline="0">
                  <a:latin typeface="Segoi ui"/>
                </a:rPr>
                <a:t> SEASON PASS</a:t>
              </a:r>
              <a:endParaRPr lang="pt-BR" sz="1400" b="1">
                <a:latin typeface="Segoi ui"/>
              </a:endParaRP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5471F4C1-F3F6-4299-938F-113662BE8DD5}"/>
              </a:ext>
            </a:extLst>
          </xdr:cNvPr>
          <xdr:cNvGrpSpPr/>
        </xdr:nvGrpSpPr>
        <xdr:grpSpPr>
          <a:xfrm>
            <a:off x="8548688" y="2139827"/>
            <a:ext cx="1262062" cy="612898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CEB48265-0424-EEA2-429C-9789DF024B3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F4C74A30-0C56-E078-78C1-00C2B7CE2C9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214313</xdr:colOff>
      <xdr:row>17</xdr:row>
      <xdr:rowOff>11906</xdr:rowOff>
    </xdr:from>
    <xdr:to>
      <xdr:col>20</xdr:col>
      <xdr:colOff>476251</xdr:colOff>
      <xdr:row>34</xdr:row>
      <xdr:rowOff>35718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4C06D9AE-C1F2-16D5-64A4-C6BF3DF5BB53}"/>
            </a:ext>
          </a:extLst>
        </xdr:cNvPr>
        <xdr:cNvGrpSpPr/>
      </xdr:nvGrpSpPr>
      <xdr:grpSpPr>
        <a:xfrm>
          <a:off x="2357438" y="3476625"/>
          <a:ext cx="11263313" cy="3262312"/>
          <a:chOff x="2357438" y="3476625"/>
          <a:chExt cx="11263313" cy="3262312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F16217B1-9DF6-FEAC-2105-09AC92E7B87F}"/>
              </a:ext>
            </a:extLst>
          </xdr:cNvPr>
          <xdr:cNvGrpSpPr/>
        </xdr:nvGrpSpPr>
        <xdr:grpSpPr>
          <a:xfrm>
            <a:off x="2381250" y="3500437"/>
            <a:ext cx="11215687" cy="3238500"/>
            <a:chOff x="2416969" y="1321594"/>
            <a:chExt cx="5500687" cy="323850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E072F9F2-4B45-9C9F-16D4-A78C3C5D1B95}"/>
                </a:ext>
              </a:extLst>
            </xdr:cNvPr>
            <xdr:cNvSpPr/>
          </xdr:nvSpPr>
          <xdr:spPr>
            <a:xfrm>
              <a:off x="2416969" y="1321594"/>
              <a:ext cx="5500687" cy="3238500"/>
            </a:xfrm>
            <a:prstGeom prst="roundRect">
              <a:avLst>
                <a:gd name="adj" fmla="val 6005"/>
              </a:avLst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FD733CF-0ADA-4D4A-B17F-AEEC497C9C95}"/>
                </a:ext>
              </a:extLst>
            </xdr:cNvPr>
            <xdr:cNvGraphicFramePr>
              <a:graphicFrameLocks/>
            </xdr:cNvGraphicFramePr>
          </xdr:nvGraphicFramePr>
          <xdr:xfrm>
            <a:off x="2527917" y="1869282"/>
            <a:ext cx="5220397" cy="2595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D35FBAFF-6DAF-4733-A960-287B6BCDAC79}"/>
              </a:ext>
            </a:extLst>
          </xdr:cNvPr>
          <xdr:cNvSpPr/>
        </xdr:nvSpPr>
        <xdr:spPr>
          <a:xfrm>
            <a:off x="2357438" y="3476625"/>
            <a:ext cx="11263313" cy="52387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i ui"/>
              </a:rPr>
              <a:t>TOTAL SUBSCRIPTION XBOX</a:t>
            </a:r>
            <a:r>
              <a:rPr lang="pt-BR" sz="1400" b="1" baseline="0">
                <a:latin typeface="Segoi ui"/>
              </a:rPr>
              <a:t> GAME PASS</a:t>
            </a:r>
            <a:endParaRPr lang="pt-BR" sz="1400" b="1">
              <a:latin typeface="Segoi ui"/>
            </a:endParaRPr>
          </a:p>
        </xdr:txBody>
      </xdr:sp>
    </xdr:grpSp>
    <xdr:clientData/>
  </xdr:twoCellAnchor>
  <xdr:twoCellAnchor editAs="absolute">
    <xdr:from>
      <xdr:col>0</xdr:col>
      <xdr:colOff>0</xdr:colOff>
      <xdr:row>6</xdr:row>
      <xdr:rowOff>23812</xdr:rowOff>
    </xdr:from>
    <xdr:to>
      <xdr:col>0</xdr:col>
      <xdr:colOff>1857375</xdr:colOff>
      <xdr:row>7</xdr:row>
      <xdr:rowOff>130969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09BD4FB6-F877-0BAC-E0C6-A0A9B6B0BA44}"/>
            </a:ext>
          </a:extLst>
        </xdr:cNvPr>
        <xdr:cNvSpPr/>
      </xdr:nvSpPr>
      <xdr:spPr>
        <a:xfrm>
          <a:off x="0" y="1238250"/>
          <a:ext cx="1857375" cy="226219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Bem-Vinda, André!</a:t>
          </a:r>
        </a:p>
      </xdr:txBody>
    </xdr:sp>
    <xdr:clientData/>
  </xdr:twoCellAnchor>
  <xdr:twoCellAnchor editAs="absolute">
    <xdr:from>
      <xdr:col>1</xdr:col>
      <xdr:colOff>235744</xdr:colOff>
      <xdr:row>3</xdr:row>
      <xdr:rowOff>92868</xdr:rowOff>
    </xdr:from>
    <xdr:to>
      <xdr:col>10</xdr:col>
      <xdr:colOff>452438</xdr:colOff>
      <xdr:row>6</xdr:row>
      <xdr:rowOff>95249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F014656F-EFE2-4C05-B803-2EAC86A19B9F}"/>
            </a:ext>
          </a:extLst>
        </xdr:cNvPr>
        <xdr:cNvSpPr/>
      </xdr:nvSpPr>
      <xdr:spPr>
        <a:xfrm>
          <a:off x="2378869" y="973931"/>
          <a:ext cx="5312569" cy="3357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0" i="1">
              <a:solidFill>
                <a:schemeClr val="bg2">
                  <a:lumMod val="50000"/>
                </a:schemeClr>
              </a:solidFill>
            </a:rPr>
            <a:t>Calculation Period:</a:t>
          </a:r>
          <a:r>
            <a:rPr lang="pt-BR" sz="1200" b="0" i="1" baseline="0">
              <a:solidFill>
                <a:schemeClr val="bg2">
                  <a:lumMod val="50000"/>
                </a:schemeClr>
              </a:solidFill>
            </a:rPr>
            <a:t> 01/01/2024 - 31/12/2024  I Update Date: 01/10/2026</a:t>
          </a:r>
          <a:endParaRPr lang="pt-BR" sz="1200" b="0" i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583407</xdr:colOff>
      <xdr:row>1</xdr:row>
      <xdr:rowOff>166688</xdr:rowOff>
    </xdr:from>
    <xdr:to>
      <xdr:col>0</xdr:col>
      <xdr:colOff>1278732</xdr:colOff>
      <xdr:row>4</xdr:row>
      <xdr:rowOff>64294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B0E62931-5E45-493E-9249-F4476A6F3F7E}"/>
            </a:ext>
          </a:extLst>
        </xdr:cNvPr>
        <xdr:cNvSpPr/>
      </xdr:nvSpPr>
      <xdr:spPr>
        <a:xfrm>
          <a:off x="583407" y="357188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a" refreshedDate="46295.902441550927" createdVersion="8" refreshedVersion="8" minRefreshableVersion="3" recordCount="295" xr:uid="{7B9D87F2-AB94-41BF-8852-3927EBA5D3B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818739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d v="2024-01-01T00:00:00"/>
    <x v="0"/>
    <n v="15"/>
    <x v="0"/>
    <s v="Yes"/>
    <x v="0"/>
    <s v="Yes"/>
    <n v="20"/>
    <n v="5"/>
    <n v="60"/>
  </r>
  <r>
    <x v="1"/>
    <x v="1"/>
    <x v="1"/>
    <d v="2024-01-15T00:00:00"/>
    <x v="1"/>
    <n v="5"/>
    <x v="1"/>
    <s v="No"/>
    <x v="1"/>
    <s v="No"/>
    <n v="0"/>
    <n v="0"/>
    <n v="5"/>
  </r>
  <r>
    <x v="2"/>
    <x v="2"/>
    <x v="2"/>
    <d v="2024-02-10T00:00:00"/>
    <x v="0"/>
    <n v="10"/>
    <x v="2"/>
    <s v="No"/>
    <x v="1"/>
    <s v="Yes"/>
    <n v="20"/>
    <n v="10"/>
    <n v="20"/>
  </r>
  <r>
    <x v="3"/>
    <x v="3"/>
    <x v="0"/>
    <d v="2024-02-20T00:00:00"/>
    <x v="1"/>
    <n v="15"/>
    <x v="0"/>
    <s v="Yes"/>
    <x v="0"/>
    <s v="Yes"/>
    <n v="20"/>
    <n v="3"/>
    <n v="62"/>
  </r>
  <r>
    <x v="4"/>
    <x v="4"/>
    <x v="1"/>
    <d v="2024-03-05T00:00:00"/>
    <x v="0"/>
    <n v="5"/>
    <x v="0"/>
    <s v="No"/>
    <x v="1"/>
    <s v="No"/>
    <n v="0"/>
    <n v="1"/>
    <n v="4"/>
  </r>
  <r>
    <x v="5"/>
    <x v="5"/>
    <x v="2"/>
    <d v="2024-03-02T00:00:00"/>
    <x v="1"/>
    <n v="10"/>
    <x v="0"/>
    <s v="No"/>
    <x v="1"/>
    <s v="Yes"/>
    <n v="20"/>
    <n v="2"/>
    <n v="28"/>
  </r>
  <r>
    <x v="6"/>
    <x v="6"/>
    <x v="0"/>
    <d v="2024-03-03T00:00:00"/>
    <x v="0"/>
    <n v="15"/>
    <x v="2"/>
    <s v="Yes"/>
    <x v="0"/>
    <s v="Yes"/>
    <n v="20"/>
    <n v="10"/>
    <n v="55"/>
  </r>
  <r>
    <x v="7"/>
    <x v="7"/>
    <x v="1"/>
    <d v="2024-03-04T00:00:00"/>
    <x v="0"/>
    <n v="5"/>
    <x v="1"/>
    <s v="No"/>
    <x v="1"/>
    <s v="No"/>
    <n v="0"/>
    <n v="0"/>
    <n v="5"/>
  </r>
  <r>
    <x v="8"/>
    <x v="8"/>
    <x v="0"/>
    <d v="2024-03-05T00:00:00"/>
    <x v="1"/>
    <n v="15"/>
    <x v="0"/>
    <s v="Yes"/>
    <x v="0"/>
    <s v="Yes"/>
    <n v="20"/>
    <n v="5"/>
    <n v="60"/>
  </r>
  <r>
    <x v="9"/>
    <x v="9"/>
    <x v="2"/>
    <d v="2024-03-06T00:00:00"/>
    <x v="0"/>
    <n v="10"/>
    <x v="2"/>
    <s v="No"/>
    <x v="1"/>
    <s v="Yes"/>
    <n v="20"/>
    <n v="15"/>
    <n v="15"/>
  </r>
  <r>
    <x v="10"/>
    <x v="10"/>
    <x v="1"/>
    <d v="2024-03-07T00:00:00"/>
    <x v="1"/>
    <n v="5"/>
    <x v="0"/>
    <s v="No"/>
    <x v="1"/>
    <s v="No"/>
    <n v="0"/>
    <n v="1"/>
    <n v="4"/>
  </r>
  <r>
    <x v="11"/>
    <x v="11"/>
    <x v="0"/>
    <d v="2024-03-08T00:00:00"/>
    <x v="0"/>
    <n v="15"/>
    <x v="1"/>
    <s v="Yes"/>
    <x v="0"/>
    <s v="Yes"/>
    <n v="20"/>
    <n v="20"/>
    <n v="45"/>
  </r>
  <r>
    <x v="12"/>
    <x v="12"/>
    <x v="2"/>
    <d v="2024-03-09T00:00:00"/>
    <x v="1"/>
    <n v="10"/>
    <x v="0"/>
    <s v="No"/>
    <x v="1"/>
    <s v="Yes"/>
    <n v="20"/>
    <n v="10"/>
    <n v="20"/>
  </r>
  <r>
    <x v="13"/>
    <x v="13"/>
    <x v="1"/>
    <d v="2024-03-10T00:00:00"/>
    <x v="0"/>
    <n v="5"/>
    <x v="2"/>
    <s v="No"/>
    <x v="1"/>
    <s v="No"/>
    <n v="0"/>
    <n v="0"/>
    <n v="5"/>
  </r>
  <r>
    <x v="14"/>
    <x v="14"/>
    <x v="0"/>
    <d v="2024-03-11T00:00:00"/>
    <x v="1"/>
    <n v="15"/>
    <x v="0"/>
    <s v="Yes"/>
    <x v="0"/>
    <s v="Yes"/>
    <n v="20"/>
    <n v="8"/>
    <n v="57"/>
  </r>
  <r>
    <x v="15"/>
    <x v="15"/>
    <x v="2"/>
    <d v="2024-03-12T00:00:00"/>
    <x v="0"/>
    <n v="10"/>
    <x v="1"/>
    <s v="No"/>
    <x v="1"/>
    <s v="Yes"/>
    <n v="20"/>
    <n v="12"/>
    <n v="18"/>
  </r>
  <r>
    <x v="16"/>
    <x v="16"/>
    <x v="1"/>
    <d v="2024-03-13T00:00:00"/>
    <x v="1"/>
    <n v="5"/>
    <x v="0"/>
    <s v="No"/>
    <x v="1"/>
    <s v="No"/>
    <n v="0"/>
    <n v="2"/>
    <n v="3"/>
  </r>
  <r>
    <x v="17"/>
    <x v="17"/>
    <x v="0"/>
    <d v="2024-03-14T00:00:00"/>
    <x v="0"/>
    <n v="15"/>
    <x v="2"/>
    <s v="Yes"/>
    <x v="0"/>
    <s v="Yes"/>
    <n v="20"/>
    <n v="7"/>
    <n v="58"/>
  </r>
  <r>
    <x v="18"/>
    <x v="18"/>
    <x v="2"/>
    <d v="2024-03-15T00:00:00"/>
    <x v="1"/>
    <n v="10"/>
    <x v="0"/>
    <s v="No"/>
    <x v="1"/>
    <s v="Yes"/>
    <n v="20"/>
    <n v="5"/>
    <n v="25"/>
  </r>
  <r>
    <x v="19"/>
    <x v="19"/>
    <x v="1"/>
    <d v="2024-03-16T00:00:00"/>
    <x v="0"/>
    <n v="5"/>
    <x v="1"/>
    <s v="No"/>
    <x v="1"/>
    <s v="No"/>
    <n v="0"/>
    <n v="0"/>
    <n v="5"/>
  </r>
  <r>
    <x v="20"/>
    <x v="20"/>
    <x v="0"/>
    <d v="2024-03-17T00:00:00"/>
    <x v="1"/>
    <n v="15"/>
    <x v="0"/>
    <s v="Yes"/>
    <x v="0"/>
    <s v="Yes"/>
    <n v="20"/>
    <n v="3"/>
    <n v="62"/>
  </r>
  <r>
    <x v="21"/>
    <x v="21"/>
    <x v="2"/>
    <d v="2024-03-18T00:00:00"/>
    <x v="0"/>
    <n v="10"/>
    <x v="2"/>
    <s v="No"/>
    <x v="1"/>
    <s v="Yes"/>
    <n v="20"/>
    <n v="15"/>
    <n v="15"/>
  </r>
  <r>
    <x v="22"/>
    <x v="22"/>
    <x v="1"/>
    <d v="2024-03-19T00:00:00"/>
    <x v="1"/>
    <n v="5"/>
    <x v="0"/>
    <s v="No"/>
    <x v="1"/>
    <s v="No"/>
    <n v="0"/>
    <n v="1"/>
    <n v="4"/>
  </r>
  <r>
    <x v="23"/>
    <x v="23"/>
    <x v="0"/>
    <d v="2024-03-20T00:00:00"/>
    <x v="0"/>
    <n v="15"/>
    <x v="1"/>
    <s v="Yes"/>
    <x v="0"/>
    <s v="Yes"/>
    <n v="20"/>
    <n v="20"/>
    <n v="45"/>
  </r>
  <r>
    <x v="24"/>
    <x v="24"/>
    <x v="2"/>
    <d v="2024-03-21T00:00:00"/>
    <x v="1"/>
    <n v="10"/>
    <x v="0"/>
    <s v="No"/>
    <x v="1"/>
    <s v="Yes"/>
    <n v="20"/>
    <n v="10"/>
    <n v="20"/>
  </r>
  <r>
    <x v="25"/>
    <x v="25"/>
    <x v="1"/>
    <d v="2024-03-22T00:00:00"/>
    <x v="0"/>
    <n v="5"/>
    <x v="2"/>
    <s v="No"/>
    <x v="1"/>
    <s v="No"/>
    <n v="0"/>
    <n v="0"/>
    <n v="5"/>
  </r>
  <r>
    <x v="26"/>
    <x v="26"/>
    <x v="0"/>
    <d v="2024-03-23T00:00:00"/>
    <x v="1"/>
    <n v="15"/>
    <x v="0"/>
    <s v="Yes"/>
    <x v="0"/>
    <s v="Yes"/>
    <n v="20"/>
    <n v="5"/>
    <n v="60"/>
  </r>
  <r>
    <x v="27"/>
    <x v="27"/>
    <x v="2"/>
    <d v="2024-03-24T00:00:00"/>
    <x v="0"/>
    <n v="10"/>
    <x v="1"/>
    <s v="No"/>
    <x v="1"/>
    <s v="Yes"/>
    <n v="20"/>
    <n v="15"/>
    <n v="15"/>
  </r>
  <r>
    <x v="28"/>
    <x v="28"/>
    <x v="1"/>
    <d v="2024-03-25T00:00:00"/>
    <x v="1"/>
    <n v="5"/>
    <x v="0"/>
    <s v="No"/>
    <x v="1"/>
    <s v="No"/>
    <n v="0"/>
    <n v="1"/>
    <n v="4"/>
  </r>
  <r>
    <x v="29"/>
    <x v="29"/>
    <x v="0"/>
    <d v="2024-03-26T00:00:00"/>
    <x v="0"/>
    <n v="15"/>
    <x v="2"/>
    <s v="Yes"/>
    <x v="0"/>
    <s v="Yes"/>
    <n v="20"/>
    <n v="7"/>
    <n v="58"/>
  </r>
  <r>
    <x v="30"/>
    <x v="30"/>
    <x v="2"/>
    <d v="2024-03-27T00:00:00"/>
    <x v="1"/>
    <n v="10"/>
    <x v="0"/>
    <s v="No"/>
    <x v="1"/>
    <s v="Yes"/>
    <n v="20"/>
    <n v="10"/>
    <n v="20"/>
  </r>
  <r>
    <x v="31"/>
    <x v="31"/>
    <x v="1"/>
    <d v="2024-03-28T00:00:00"/>
    <x v="0"/>
    <n v="5"/>
    <x v="1"/>
    <s v="No"/>
    <x v="1"/>
    <s v="No"/>
    <n v="0"/>
    <n v="0"/>
    <n v="5"/>
  </r>
  <r>
    <x v="32"/>
    <x v="32"/>
    <x v="0"/>
    <d v="2024-03-29T00:00:00"/>
    <x v="1"/>
    <n v="15"/>
    <x v="0"/>
    <s v="Yes"/>
    <x v="0"/>
    <s v="Yes"/>
    <n v="20"/>
    <n v="3"/>
    <n v="62"/>
  </r>
  <r>
    <x v="33"/>
    <x v="33"/>
    <x v="2"/>
    <d v="2024-03-30T00:00:00"/>
    <x v="0"/>
    <n v="10"/>
    <x v="2"/>
    <s v="No"/>
    <x v="1"/>
    <s v="Yes"/>
    <n v="20"/>
    <n v="15"/>
    <n v="15"/>
  </r>
  <r>
    <x v="34"/>
    <x v="34"/>
    <x v="1"/>
    <d v="2024-03-31T00:00:00"/>
    <x v="1"/>
    <n v="5"/>
    <x v="0"/>
    <s v="No"/>
    <x v="1"/>
    <s v="No"/>
    <n v="0"/>
    <n v="1"/>
    <n v="4"/>
  </r>
  <r>
    <x v="35"/>
    <x v="35"/>
    <x v="1"/>
    <d v="2024-04-01T00:00:00"/>
    <x v="0"/>
    <n v="5"/>
    <x v="0"/>
    <s v="No"/>
    <x v="1"/>
    <s v="No"/>
    <n v="0"/>
    <n v="0"/>
    <n v="5"/>
  </r>
  <r>
    <x v="36"/>
    <x v="36"/>
    <x v="0"/>
    <d v="2024-04-02T00:00:00"/>
    <x v="1"/>
    <n v="15"/>
    <x v="2"/>
    <s v="Yes"/>
    <x v="0"/>
    <s v="Yes"/>
    <n v="20"/>
    <n v="7"/>
    <n v="58"/>
  </r>
  <r>
    <x v="37"/>
    <x v="37"/>
    <x v="2"/>
    <d v="2024-04-03T00:00:00"/>
    <x v="0"/>
    <n v="10"/>
    <x v="1"/>
    <s v="No"/>
    <x v="1"/>
    <s v="Yes"/>
    <n v="20"/>
    <n v="10"/>
    <n v="20"/>
  </r>
  <r>
    <x v="38"/>
    <x v="38"/>
    <x v="1"/>
    <d v="2024-04-04T00:00:00"/>
    <x v="1"/>
    <n v="5"/>
    <x v="2"/>
    <s v="No"/>
    <x v="1"/>
    <s v="No"/>
    <n v="0"/>
    <n v="1"/>
    <n v="4"/>
  </r>
  <r>
    <x v="39"/>
    <x v="39"/>
    <x v="0"/>
    <d v="2024-04-05T00:00:00"/>
    <x v="0"/>
    <n v="15"/>
    <x v="0"/>
    <s v="Yes"/>
    <x v="0"/>
    <s v="Yes"/>
    <n v="20"/>
    <n v="15"/>
    <n v="50"/>
  </r>
  <r>
    <x v="40"/>
    <x v="40"/>
    <x v="2"/>
    <d v="2024-04-06T00:00:00"/>
    <x v="1"/>
    <n v="10"/>
    <x v="0"/>
    <s v="No"/>
    <x v="1"/>
    <s v="Yes"/>
    <n v="20"/>
    <n v="5"/>
    <n v="25"/>
  </r>
  <r>
    <x v="41"/>
    <x v="41"/>
    <x v="1"/>
    <d v="2024-04-07T00:00:00"/>
    <x v="0"/>
    <n v="5"/>
    <x v="1"/>
    <s v="No"/>
    <x v="1"/>
    <s v="No"/>
    <n v="0"/>
    <n v="0"/>
    <n v="5"/>
  </r>
  <r>
    <x v="42"/>
    <x v="42"/>
    <x v="0"/>
    <d v="2024-04-08T00:00:00"/>
    <x v="1"/>
    <n v="15"/>
    <x v="2"/>
    <s v="Yes"/>
    <x v="0"/>
    <s v="Yes"/>
    <n v="20"/>
    <n v="20"/>
    <n v="45"/>
  </r>
  <r>
    <x v="43"/>
    <x v="43"/>
    <x v="2"/>
    <d v="2024-04-09T00:00:00"/>
    <x v="0"/>
    <n v="10"/>
    <x v="2"/>
    <s v="No"/>
    <x v="1"/>
    <s v="Yes"/>
    <n v="20"/>
    <n v="12"/>
    <n v="18"/>
  </r>
  <r>
    <x v="44"/>
    <x v="44"/>
    <x v="1"/>
    <d v="2024-04-10T00:00:00"/>
    <x v="1"/>
    <n v="5"/>
    <x v="0"/>
    <s v="No"/>
    <x v="1"/>
    <s v="No"/>
    <n v="0"/>
    <n v="2"/>
    <n v="3"/>
  </r>
  <r>
    <x v="45"/>
    <x v="45"/>
    <x v="0"/>
    <d v="2024-04-11T00:00:00"/>
    <x v="0"/>
    <n v="15"/>
    <x v="1"/>
    <s v="Yes"/>
    <x v="0"/>
    <s v="Yes"/>
    <n v="20"/>
    <n v="5"/>
    <n v="60"/>
  </r>
  <r>
    <x v="46"/>
    <x v="46"/>
    <x v="2"/>
    <d v="2024-04-12T00:00:00"/>
    <x v="1"/>
    <n v="10"/>
    <x v="0"/>
    <s v="No"/>
    <x v="1"/>
    <s v="Yes"/>
    <n v="20"/>
    <n v="10"/>
    <n v="20"/>
  </r>
  <r>
    <x v="47"/>
    <x v="47"/>
    <x v="1"/>
    <d v="2024-04-13T00:00:00"/>
    <x v="0"/>
    <n v="5"/>
    <x v="2"/>
    <s v="No"/>
    <x v="1"/>
    <s v="No"/>
    <n v="0"/>
    <n v="0"/>
    <n v="5"/>
  </r>
  <r>
    <x v="48"/>
    <x v="48"/>
    <x v="0"/>
    <d v="2024-04-14T00:00:00"/>
    <x v="1"/>
    <n v="15"/>
    <x v="0"/>
    <s v="Yes"/>
    <x v="0"/>
    <s v="Yes"/>
    <n v="20"/>
    <n v="3"/>
    <n v="62"/>
  </r>
  <r>
    <x v="49"/>
    <x v="49"/>
    <x v="2"/>
    <d v="2024-04-15T00:00:00"/>
    <x v="0"/>
    <n v="10"/>
    <x v="1"/>
    <s v="No"/>
    <x v="1"/>
    <s v="Yes"/>
    <n v="20"/>
    <n v="15"/>
    <n v="15"/>
  </r>
  <r>
    <x v="50"/>
    <x v="50"/>
    <x v="1"/>
    <d v="2024-04-16T00:00:00"/>
    <x v="1"/>
    <n v="5"/>
    <x v="0"/>
    <s v="No"/>
    <x v="1"/>
    <s v="No"/>
    <n v="0"/>
    <n v="1"/>
    <n v="4"/>
  </r>
  <r>
    <x v="51"/>
    <x v="51"/>
    <x v="0"/>
    <d v="2024-04-17T00:00:00"/>
    <x v="0"/>
    <n v="15"/>
    <x v="2"/>
    <s v="Yes"/>
    <x v="0"/>
    <s v="Yes"/>
    <n v="20"/>
    <n v="7"/>
    <n v="58"/>
  </r>
  <r>
    <x v="52"/>
    <x v="52"/>
    <x v="2"/>
    <d v="2024-04-18T00:00:00"/>
    <x v="1"/>
    <n v="10"/>
    <x v="0"/>
    <s v="No"/>
    <x v="1"/>
    <s v="Yes"/>
    <n v="20"/>
    <n v="10"/>
    <n v="20"/>
  </r>
  <r>
    <x v="53"/>
    <x v="53"/>
    <x v="1"/>
    <d v="2024-04-19T00:00:00"/>
    <x v="0"/>
    <n v="5"/>
    <x v="1"/>
    <s v="No"/>
    <x v="1"/>
    <s v="No"/>
    <n v="0"/>
    <n v="0"/>
    <n v="5"/>
  </r>
  <r>
    <x v="54"/>
    <x v="54"/>
    <x v="0"/>
    <d v="2024-04-20T00:00:00"/>
    <x v="1"/>
    <n v="15"/>
    <x v="0"/>
    <s v="Yes"/>
    <x v="0"/>
    <s v="Yes"/>
    <n v="20"/>
    <n v="20"/>
    <n v="45"/>
  </r>
  <r>
    <x v="55"/>
    <x v="55"/>
    <x v="2"/>
    <d v="2024-04-21T00:00:00"/>
    <x v="0"/>
    <n v="10"/>
    <x v="2"/>
    <s v="No"/>
    <x v="1"/>
    <s v="Yes"/>
    <n v="20"/>
    <n v="15"/>
    <n v="15"/>
  </r>
  <r>
    <x v="56"/>
    <x v="56"/>
    <x v="1"/>
    <d v="2024-04-22T00:00:00"/>
    <x v="1"/>
    <n v="5"/>
    <x v="0"/>
    <s v="No"/>
    <x v="1"/>
    <s v="No"/>
    <n v="0"/>
    <n v="1"/>
    <n v="4"/>
  </r>
  <r>
    <x v="57"/>
    <x v="57"/>
    <x v="0"/>
    <d v="2024-04-23T00:00:00"/>
    <x v="0"/>
    <n v="15"/>
    <x v="1"/>
    <s v="Yes"/>
    <x v="0"/>
    <s v="Yes"/>
    <n v="20"/>
    <n v="3"/>
    <n v="62"/>
  </r>
  <r>
    <x v="58"/>
    <x v="58"/>
    <x v="2"/>
    <d v="2024-04-24T00:00:00"/>
    <x v="1"/>
    <n v="10"/>
    <x v="0"/>
    <s v="No"/>
    <x v="1"/>
    <s v="Yes"/>
    <n v="20"/>
    <n v="10"/>
    <n v="20"/>
  </r>
  <r>
    <x v="59"/>
    <x v="59"/>
    <x v="1"/>
    <d v="2024-04-25T00:00:00"/>
    <x v="0"/>
    <n v="5"/>
    <x v="2"/>
    <s v="No"/>
    <x v="1"/>
    <s v="No"/>
    <n v="0"/>
    <n v="0"/>
    <n v="5"/>
  </r>
  <r>
    <x v="60"/>
    <x v="60"/>
    <x v="0"/>
    <d v="2024-04-26T00:00:00"/>
    <x v="1"/>
    <n v="15"/>
    <x v="0"/>
    <s v="Yes"/>
    <x v="0"/>
    <s v="Yes"/>
    <n v="20"/>
    <n v="5"/>
    <n v="60"/>
  </r>
  <r>
    <x v="61"/>
    <x v="61"/>
    <x v="2"/>
    <d v="2024-04-27T00:00:00"/>
    <x v="0"/>
    <n v="10"/>
    <x v="1"/>
    <s v="No"/>
    <x v="1"/>
    <s v="Yes"/>
    <n v="20"/>
    <n v="15"/>
    <n v="15"/>
  </r>
  <r>
    <x v="62"/>
    <x v="62"/>
    <x v="1"/>
    <d v="2024-04-28T00:00:00"/>
    <x v="1"/>
    <n v="5"/>
    <x v="0"/>
    <s v="No"/>
    <x v="1"/>
    <s v="No"/>
    <n v="0"/>
    <n v="1"/>
    <n v="4"/>
  </r>
  <r>
    <x v="63"/>
    <x v="63"/>
    <x v="0"/>
    <d v="2024-04-29T00:00:00"/>
    <x v="0"/>
    <n v="15"/>
    <x v="2"/>
    <s v="Yes"/>
    <x v="0"/>
    <s v="Yes"/>
    <n v="20"/>
    <n v="20"/>
    <n v="45"/>
  </r>
  <r>
    <x v="64"/>
    <x v="64"/>
    <x v="2"/>
    <d v="2024-04-30T00:00:00"/>
    <x v="1"/>
    <n v="10"/>
    <x v="0"/>
    <s v="No"/>
    <x v="1"/>
    <s v="Yes"/>
    <n v="20"/>
    <n v="5"/>
    <n v="25"/>
  </r>
  <r>
    <x v="65"/>
    <x v="65"/>
    <x v="1"/>
    <d v="2024-05-01T00:00:00"/>
    <x v="1"/>
    <n v="5"/>
    <x v="0"/>
    <s v="No"/>
    <x v="1"/>
    <s v="No"/>
    <n v="0"/>
    <n v="0"/>
    <n v="5"/>
  </r>
  <r>
    <x v="66"/>
    <x v="66"/>
    <x v="0"/>
    <d v="2024-05-02T00:00:00"/>
    <x v="0"/>
    <n v="15"/>
    <x v="2"/>
    <s v="Yes"/>
    <x v="0"/>
    <s v="Yes"/>
    <n v="20"/>
    <n v="7"/>
    <n v="58"/>
  </r>
  <r>
    <x v="67"/>
    <x v="67"/>
    <x v="2"/>
    <d v="2024-05-03T00:00:00"/>
    <x v="1"/>
    <n v="10"/>
    <x v="1"/>
    <s v="No"/>
    <x v="1"/>
    <s v="Yes"/>
    <n v="20"/>
    <n v="10"/>
    <n v="20"/>
  </r>
  <r>
    <x v="68"/>
    <x v="68"/>
    <x v="1"/>
    <d v="2024-05-04T00:00:00"/>
    <x v="0"/>
    <n v="5"/>
    <x v="2"/>
    <s v="No"/>
    <x v="1"/>
    <s v="No"/>
    <n v="0"/>
    <n v="1"/>
    <n v="4"/>
  </r>
  <r>
    <x v="69"/>
    <x v="69"/>
    <x v="0"/>
    <d v="2024-05-05T00:00:00"/>
    <x v="1"/>
    <n v="15"/>
    <x v="0"/>
    <s v="Yes"/>
    <x v="0"/>
    <s v="Yes"/>
    <n v="20"/>
    <n v="15"/>
    <n v="50"/>
  </r>
  <r>
    <x v="70"/>
    <x v="70"/>
    <x v="2"/>
    <d v="2024-05-06T00:00:00"/>
    <x v="0"/>
    <n v="10"/>
    <x v="0"/>
    <s v="No"/>
    <x v="1"/>
    <s v="Yes"/>
    <n v="20"/>
    <n v="5"/>
    <n v="25"/>
  </r>
  <r>
    <x v="71"/>
    <x v="71"/>
    <x v="1"/>
    <d v="2024-05-07T00:00:00"/>
    <x v="1"/>
    <n v="5"/>
    <x v="1"/>
    <s v="No"/>
    <x v="1"/>
    <s v="No"/>
    <n v="0"/>
    <n v="0"/>
    <n v="5"/>
  </r>
  <r>
    <x v="72"/>
    <x v="72"/>
    <x v="0"/>
    <d v="2024-05-08T00:00:00"/>
    <x v="0"/>
    <n v="15"/>
    <x v="2"/>
    <s v="Yes"/>
    <x v="0"/>
    <s v="Yes"/>
    <n v="20"/>
    <n v="20"/>
    <n v="45"/>
  </r>
  <r>
    <x v="73"/>
    <x v="73"/>
    <x v="2"/>
    <d v="2024-05-09T00:00:00"/>
    <x v="1"/>
    <n v="10"/>
    <x v="2"/>
    <s v="No"/>
    <x v="1"/>
    <s v="Yes"/>
    <n v="20"/>
    <n v="12"/>
    <n v="18"/>
  </r>
  <r>
    <x v="74"/>
    <x v="74"/>
    <x v="1"/>
    <d v="2024-05-10T00:00:00"/>
    <x v="0"/>
    <n v="5"/>
    <x v="0"/>
    <s v="No"/>
    <x v="1"/>
    <s v="No"/>
    <n v="0"/>
    <n v="2"/>
    <n v="3"/>
  </r>
  <r>
    <x v="75"/>
    <x v="75"/>
    <x v="0"/>
    <d v="2024-05-11T00:00:00"/>
    <x v="1"/>
    <n v="15"/>
    <x v="1"/>
    <s v="Yes"/>
    <x v="0"/>
    <s v="Yes"/>
    <n v="20"/>
    <n v="5"/>
    <n v="60"/>
  </r>
  <r>
    <x v="76"/>
    <x v="76"/>
    <x v="2"/>
    <d v="2024-05-12T00:00:00"/>
    <x v="0"/>
    <n v="10"/>
    <x v="0"/>
    <s v="No"/>
    <x v="1"/>
    <s v="Yes"/>
    <n v="20"/>
    <n v="10"/>
    <n v="20"/>
  </r>
  <r>
    <x v="77"/>
    <x v="77"/>
    <x v="1"/>
    <d v="2024-05-13T00:00:00"/>
    <x v="1"/>
    <n v="5"/>
    <x v="2"/>
    <s v="No"/>
    <x v="1"/>
    <s v="No"/>
    <n v="0"/>
    <n v="0"/>
    <n v="5"/>
  </r>
  <r>
    <x v="78"/>
    <x v="78"/>
    <x v="0"/>
    <d v="2024-05-14T00:00:00"/>
    <x v="0"/>
    <n v="15"/>
    <x v="0"/>
    <s v="Yes"/>
    <x v="0"/>
    <s v="Yes"/>
    <n v="20"/>
    <n v="3"/>
    <n v="62"/>
  </r>
  <r>
    <x v="79"/>
    <x v="79"/>
    <x v="2"/>
    <d v="2024-05-15T00:00:00"/>
    <x v="1"/>
    <n v="10"/>
    <x v="1"/>
    <s v="No"/>
    <x v="1"/>
    <s v="Yes"/>
    <n v="20"/>
    <n v="15"/>
    <n v="15"/>
  </r>
  <r>
    <x v="80"/>
    <x v="80"/>
    <x v="1"/>
    <d v="2024-05-16T00:00:00"/>
    <x v="0"/>
    <n v="5"/>
    <x v="0"/>
    <s v="No"/>
    <x v="1"/>
    <s v="No"/>
    <n v="0"/>
    <n v="1"/>
    <n v="4"/>
  </r>
  <r>
    <x v="81"/>
    <x v="81"/>
    <x v="0"/>
    <d v="2024-05-17T00:00:00"/>
    <x v="1"/>
    <n v="15"/>
    <x v="2"/>
    <s v="Yes"/>
    <x v="0"/>
    <s v="Yes"/>
    <n v="20"/>
    <n v="7"/>
    <n v="58"/>
  </r>
  <r>
    <x v="82"/>
    <x v="82"/>
    <x v="2"/>
    <d v="2024-05-18T00:00:00"/>
    <x v="0"/>
    <n v="10"/>
    <x v="0"/>
    <s v="No"/>
    <x v="1"/>
    <s v="Yes"/>
    <n v="20"/>
    <n v="10"/>
    <n v="20"/>
  </r>
  <r>
    <x v="83"/>
    <x v="83"/>
    <x v="1"/>
    <d v="2024-05-19T00:00:00"/>
    <x v="1"/>
    <n v="5"/>
    <x v="1"/>
    <s v="No"/>
    <x v="1"/>
    <s v="No"/>
    <n v="0"/>
    <n v="0"/>
    <n v="5"/>
  </r>
  <r>
    <x v="84"/>
    <x v="84"/>
    <x v="0"/>
    <d v="2024-05-20T00:00:00"/>
    <x v="0"/>
    <n v="15"/>
    <x v="0"/>
    <s v="Yes"/>
    <x v="0"/>
    <s v="Yes"/>
    <n v="20"/>
    <n v="20"/>
    <n v="45"/>
  </r>
  <r>
    <x v="85"/>
    <x v="85"/>
    <x v="2"/>
    <d v="2024-05-21T00:00:00"/>
    <x v="1"/>
    <n v="10"/>
    <x v="2"/>
    <s v="No"/>
    <x v="1"/>
    <s v="Yes"/>
    <n v="20"/>
    <n v="15"/>
    <n v="15"/>
  </r>
  <r>
    <x v="86"/>
    <x v="86"/>
    <x v="1"/>
    <d v="2024-05-22T00:00:00"/>
    <x v="0"/>
    <n v="5"/>
    <x v="0"/>
    <s v="No"/>
    <x v="1"/>
    <s v="No"/>
    <n v="0"/>
    <n v="1"/>
    <n v="4"/>
  </r>
  <r>
    <x v="87"/>
    <x v="87"/>
    <x v="0"/>
    <d v="2024-05-23T00:00:00"/>
    <x v="1"/>
    <n v="15"/>
    <x v="1"/>
    <s v="Yes"/>
    <x v="0"/>
    <s v="Yes"/>
    <n v="20"/>
    <n v="3"/>
    <n v="62"/>
  </r>
  <r>
    <x v="88"/>
    <x v="88"/>
    <x v="2"/>
    <d v="2024-05-24T00:00:00"/>
    <x v="0"/>
    <n v="10"/>
    <x v="0"/>
    <s v="No"/>
    <x v="1"/>
    <s v="Yes"/>
    <n v="20"/>
    <n v="10"/>
    <n v="20"/>
  </r>
  <r>
    <x v="89"/>
    <x v="89"/>
    <x v="1"/>
    <d v="2024-05-25T00:00:00"/>
    <x v="1"/>
    <n v="5"/>
    <x v="2"/>
    <s v="No"/>
    <x v="1"/>
    <s v="No"/>
    <n v="0"/>
    <n v="0"/>
    <n v="5"/>
  </r>
  <r>
    <x v="90"/>
    <x v="90"/>
    <x v="0"/>
    <d v="2024-05-26T00:00:00"/>
    <x v="0"/>
    <n v="15"/>
    <x v="0"/>
    <s v="Yes"/>
    <x v="0"/>
    <s v="Yes"/>
    <n v="20"/>
    <n v="5"/>
    <n v="60"/>
  </r>
  <r>
    <x v="91"/>
    <x v="91"/>
    <x v="2"/>
    <d v="2024-05-27T00:00:00"/>
    <x v="1"/>
    <n v="10"/>
    <x v="1"/>
    <s v="No"/>
    <x v="1"/>
    <s v="Yes"/>
    <n v="20"/>
    <n v="15"/>
    <n v="15"/>
  </r>
  <r>
    <x v="92"/>
    <x v="92"/>
    <x v="1"/>
    <d v="2024-05-28T00:00:00"/>
    <x v="0"/>
    <n v="5"/>
    <x v="0"/>
    <s v="No"/>
    <x v="1"/>
    <s v="No"/>
    <n v="0"/>
    <n v="1"/>
    <n v="4"/>
  </r>
  <r>
    <x v="93"/>
    <x v="93"/>
    <x v="0"/>
    <d v="2024-05-29T00:00:00"/>
    <x v="1"/>
    <n v="15"/>
    <x v="2"/>
    <s v="Yes"/>
    <x v="0"/>
    <s v="Yes"/>
    <n v="20"/>
    <n v="20"/>
    <n v="45"/>
  </r>
  <r>
    <x v="94"/>
    <x v="94"/>
    <x v="2"/>
    <d v="2024-05-30T00:00:00"/>
    <x v="0"/>
    <n v="10"/>
    <x v="2"/>
    <s v="No"/>
    <x v="1"/>
    <s v="Yes"/>
    <n v="20"/>
    <n v="15"/>
    <n v="15"/>
  </r>
  <r>
    <x v="95"/>
    <x v="95"/>
    <x v="1"/>
    <d v="2024-05-31T00:00:00"/>
    <x v="1"/>
    <n v="5"/>
    <x v="1"/>
    <s v="No"/>
    <x v="1"/>
    <s v="No"/>
    <n v="0"/>
    <n v="0"/>
    <n v="5"/>
  </r>
  <r>
    <x v="96"/>
    <x v="96"/>
    <x v="0"/>
    <d v="2024-06-01T00:00:00"/>
    <x v="0"/>
    <n v="15"/>
    <x v="0"/>
    <s v="Yes"/>
    <x v="0"/>
    <s v="Yes"/>
    <n v="20"/>
    <n v="7"/>
    <n v="58"/>
  </r>
  <r>
    <x v="97"/>
    <x v="97"/>
    <x v="2"/>
    <d v="2024-06-02T00:00:00"/>
    <x v="1"/>
    <n v="10"/>
    <x v="1"/>
    <s v="No"/>
    <x v="1"/>
    <s v="Yes"/>
    <n v="20"/>
    <n v="10"/>
    <n v="20"/>
  </r>
  <r>
    <x v="98"/>
    <x v="98"/>
    <x v="1"/>
    <d v="2024-06-03T00:00:00"/>
    <x v="0"/>
    <n v="5"/>
    <x v="2"/>
    <s v="No"/>
    <x v="1"/>
    <s v="No"/>
    <n v="0"/>
    <n v="1"/>
    <n v="4"/>
  </r>
  <r>
    <x v="99"/>
    <x v="99"/>
    <x v="0"/>
    <d v="2024-06-04T00:00:00"/>
    <x v="1"/>
    <n v="15"/>
    <x v="0"/>
    <s v="Yes"/>
    <x v="0"/>
    <s v="Yes"/>
    <n v="20"/>
    <n v="15"/>
    <n v="50"/>
  </r>
  <r>
    <x v="100"/>
    <x v="100"/>
    <x v="2"/>
    <d v="2024-06-05T00:00:00"/>
    <x v="0"/>
    <n v="10"/>
    <x v="0"/>
    <s v="No"/>
    <x v="1"/>
    <s v="Yes"/>
    <n v="20"/>
    <n v="5"/>
    <n v="25"/>
  </r>
  <r>
    <x v="101"/>
    <x v="101"/>
    <x v="1"/>
    <d v="2024-06-06T00:00:00"/>
    <x v="1"/>
    <n v="5"/>
    <x v="1"/>
    <s v="No"/>
    <x v="1"/>
    <s v="No"/>
    <n v="0"/>
    <n v="0"/>
    <n v="5"/>
  </r>
  <r>
    <x v="102"/>
    <x v="102"/>
    <x v="0"/>
    <d v="2024-06-07T00:00:00"/>
    <x v="0"/>
    <n v="15"/>
    <x v="2"/>
    <s v="Yes"/>
    <x v="0"/>
    <s v="Yes"/>
    <n v="20"/>
    <n v="20"/>
    <n v="45"/>
  </r>
  <r>
    <x v="103"/>
    <x v="103"/>
    <x v="2"/>
    <d v="2024-06-08T00:00:00"/>
    <x v="1"/>
    <n v="10"/>
    <x v="2"/>
    <s v="No"/>
    <x v="1"/>
    <s v="Yes"/>
    <n v="20"/>
    <n v="12"/>
    <n v="18"/>
  </r>
  <r>
    <x v="104"/>
    <x v="104"/>
    <x v="1"/>
    <d v="2024-06-09T00:00:00"/>
    <x v="0"/>
    <n v="5"/>
    <x v="0"/>
    <s v="No"/>
    <x v="1"/>
    <s v="No"/>
    <n v="0"/>
    <n v="2"/>
    <n v="3"/>
  </r>
  <r>
    <x v="105"/>
    <x v="105"/>
    <x v="1"/>
    <d v="2024-06-10T00:00:00"/>
    <x v="0"/>
    <n v="5"/>
    <x v="0"/>
    <s v="No"/>
    <x v="1"/>
    <s v="No"/>
    <n v="0"/>
    <n v="0"/>
    <n v="5"/>
  </r>
  <r>
    <x v="106"/>
    <x v="106"/>
    <x v="0"/>
    <d v="2024-06-11T00:00:00"/>
    <x v="1"/>
    <n v="15"/>
    <x v="2"/>
    <s v="Yes"/>
    <x v="0"/>
    <s v="Yes"/>
    <n v="20"/>
    <n v="7"/>
    <n v="58"/>
  </r>
  <r>
    <x v="107"/>
    <x v="107"/>
    <x v="2"/>
    <d v="2024-06-12T00:00:00"/>
    <x v="0"/>
    <n v="10"/>
    <x v="1"/>
    <s v="No"/>
    <x v="1"/>
    <s v="Yes"/>
    <n v="20"/>
    <n v="10"/>
    <n v="20"/>
  </r>
  <r>
    <x v="108"/>
    <x v="108"/>
    <x v="1"/>
    <d v="2024-06-13T00:00:00"/>
    <x v="1"/>
    <n v="5"/>
    <x v="2"/>
    <s v="No"/>
    <x v="1"/>
    <s v="No"/>
    <n v="0"/>
    <n v="1"/>
    <n v="4"/>
  </r>
  <r>
    <x v="109"/>
    <x v="109"/>
    <x v="0"/>
    <d v="2024-06-14T00:00:00"/>
    <x v="0"/>
    <n v="15"/>
    <x v="0"/>
    <s v="Yes"/>
    <x v="0"/>
    <s v="Yes"/>
    <n v="20"/>
    <n v="15"/>
    <n v="50"/>
  </r>
  <r>
    <x v="110"/>
    <x v="110"/>
    <x v="2"/>
    <d v="2024-06-15T00:00:00"/>
    <x v="1"/>
    <n v="10"/>
    <x v="0"/>
    <s v="No"/>
    <x v="1"/>
    <s v="Yes"/>
    <n v="20"/>
    <n v="5"/>
    <n v="25"/>
  </r>
  <r>
    <x v="111"/>
    <x v="111"/>
    <x v="1"/>
    <d v="2024-06-16T00:00:00"/>
    <x v="0"/>
    <n v="5"/>
    <x v="1"/>
    <s v="No"/>
    <x v="1"/>
    <s v="No"/>
    <n v="0"/>
    <n v="0"/>
    <n v="5"/>
  </r>
  <r>
    <x v="112"/>
    <x v="112"/>
    <x v="0"/>
    <d v="2024-06-17T00:00:00"/>
    <x v="1"/>
    <n v="15"/>
    <x v="2"/>
    <s v="Yes"/>
    <x v="0"/>
    <s v="Yes"/>
    <n v="20"/>
    <n v="20"/>
    <n v="45"/>
  </r>
  <r>
    <x v="113"/>
    <x v="113"/>
    <x v="2"/>
    <d v="2024-06-18T00:00:00"/>
    <x v="0"/>
    <n v="10"/>
    <x v="2"/>
    <s v="No"/>
    <x v="1"/>
    <s v="Yes"/>
    <n v="20"/>
    <n v="12"/>
    <n v="18"/>
  </r>
  <r>
    <x v="114"/>
    <x v="114"/>
    <x v="1"/>
    <d v="2024-06-19T00:00:00"/>
    <x v="1"/>
    <n v="5"/>
    <x v="0"/>
    <s v="No"/>
    <x v="1"/>
    <s v="No"/>
    <n v="0"/>
    <n v="2"/>
    <n v="3"/>
  </r>
  <r>
    <x v="115"/>
    <x v="115"/>
    <x v="0"/>
    <d v="2024-06-20T00:00:00"/>
    <x v="0"/>
    <n v="15"/>
    <x v="1"/>
    <s v="Yes"/>
    <x v="0"/>
    <s v="Yes"/>
    <n v="20"/>
    <n v="5"/>
    <n v="60"/>
  </r>
  <r>
    <x v="116"/>
    <x v="116"/>
    <x v="2"/>
    <d v="2024-06-21T00:00:00"/>
    <x v="1"/>
    <n v="10"/>
    <x v="0"/>
    <s v="No"/>
    <x v="1"/>
    <s v="Yes"/>
    <n v="20"/>
    <n v="10"/>
    <n v="20"/>
  </r>
  <r>
    <x v="117"/>
    <x v="117"/>
    <x v="1"/>
    <d v="2024-06-22T00:00:00"/>
    <x v="0"/>
    <n v="5"/>
    <x v="2"/>
    <s v="No"/>
    <x v="1"/>
    <s v="No"/>
    <n v="0"/>
    <n v="0"/>
    <n v="5"/>
  </r>
  <r>
    <x v="118"/>
    <x v="93"/>
    <x v="0"/>
    <d v="2024-06-23T00:00:00"/>
    <x v="1"/>
    <n v="15"/>
    <x v="0"/>
    <s v="Yes"/>
    <x v="0"/>
    <s v="Yes"/>
    <n v="20"/>
    <n v="3"/>
    <n v="62"/>
  </r>
  <r>
    <x v="119"/>
    <x v="118"/>
    <x v="2"/>
    <d v="2024-06-24T00:00:00"/>
    <x v="0"/>
    <n v="10"/>
    <x v="1"/>
    <s v="No"/>
    <x v="1"/>
    <s v="Yes"/>
    <n v="20"/>
    <n v="15"/>
    <n v="15"/>
  </r>
  <r>
    <x v="120"/>
    <x v="119"/>
    <x v="1"/>
    <d v="2024-06-25T00:00:00"/>
    <x v="1"/>
    <n v="5"/>
    <x v="0"/>
    <s v="No"/>
    <x v="1"/>
    <s v="No"/>
    <n v="0"/>
    <n v="1"/>
    <n v="4"/>
  </r>
  <r>
    <x v="121"/>
    <x v="120"/>
    <x v="0"/>
    <d v="2024-06-26T00:00:00"/>
    <x v="0"/>
    <n v="15"/>
    <x v="2"/>
    <s v="Yes"/>
    <x v="0"/>
    <s v="Yes"/>
    <n v="20"/>
    <n v="7"/>
    <n v="58"/>
  </r>
  <r>
    <x v="122"/>
    <x v="121"/>
    <x v="2"/>
    <d v="2024-06-27T00:00:00"/>
    <x v="1"/>
    <n v="10"/>
    <x v="0"/>
    <s v="No"/>
    <x v="1"/>
    <s v="Yes"/>
    <n v="20"/>
    <n v="10"/>
    <n v="20"/>
  </r>
  <r>
    <x v="123"/>
    <x v="122"/>
    <x v="1"/>
    <d v="2024-06-28T00:00:00"/>
    <x v="0"/>
    <n v="5"/>
    <x v="1"/>
    <s v="No"/>
    <x v="1"/>
    <s v="No"/>
    <n v="0"/>
    <n v="0"/>
    <n v="5"/>
  </r>
  <r>
    <x v="124"/>
    <x v="123"/>
    <x v="0"/>
    <d v="2024-06-29T00:00:00"/>
    <x v="1"/>
    <n v="15"/>
    <x v="0"/>
    <s v="Yes"/>
    <x v="0"/>
    <s v="Yes"/>
    <n v="20"/>
    <n v="20"/>
    <n v="45"/>
  </r>
  <r>
    <x v="125"/>
    <x v="124"/>
    <x v="2"/>
    <d v="2024-06-30T00:00:00"/>
    <x v="0"/>
    <n v="10"/>
    <x v="2"/>
    <s v="No"/>
    <x v="1"/>
    <s v="Yes"/>
    <n v="20"/>
    <n v="15"/>
    <n v="15"/>
  </r>
  <r>
    <x v="126"/>
    <x v="125"/>
    <x v="1"/>
    <d v="2024-07-01T00:00:00"/>
    <x v="1"/>
    <n v="5"/>
    <x v="0"/>
    <s v="No"/>
    <x v="1"/>
    <s v="No"/>
    <n v="0"/>
    <n v="1"/>
    <n v="4"/>
  </r>
  <r>
    <x v="127"/>
    <x v="126"/>
    <x v="0"/>
    <d v="2024-07-02T00:00:00"/>
    <x v="0"/>
    <n v="15"/>
    <x v="1"/>
    <s v="Yes"/>
    <x v="0"/>
    <s v="Yes"/>
    <n v="20"/>
    <n v="3"/>
    <n v="62"/>
  </r>
  <r>
    <x v="128"/>
    <x v="127"/>
    <x v="2"/>
    <d v="2024-07-03T00:00:00"/>
    <x v="1"/>
    <n v="10"/>
    <x v="0"/>
    <s v="No"/>
    <x v="1"/>
    <s v="Yes"/>
    <n v="20"/>
    <n v="10"/>
    <n v="20"/>
  </r>
  <r>
    <x v="129"/>
    <x v="128"/>
    <x v="1"/>
    <d v="2024-07-04T00:00:00"/>
    <x v="0"/>
    <n v="5"/>
    <x v="2"/>
    <s v="No"/>
    <x v="1"/>
    <s v="No"/>
    <n v="0"/>
    <n v="0"/>
    <n v="5"/>
  </r>
  <r>
    <x v="130"/>
    <x v="129"/>
    <x v="0"/>
    <d v="2024-07-05T00:00:00"/>
    <x v="1"/>
    <n v="15"/>
    <x v="0"/>
    <s v="Yes"/>
    <x v="0"/>
    <s v="Yes"/>
    <n v="20"/>
    <n v="15"/>
    <n v="50"/>
  </r>
  <r>
    <x v="131"/>
    <x v="130"/>
    <x v="2"/>
    <d v="2024-07-06T00:00:00"/>
    <x v="0"/>
    <n v="10"/>
    <x v="1"/>
    <s v="No"/>
    <x v="1"/>
    <s v="Yes"/>
    <n v="20"/>
    <n v="15"/>
    <n v="15"/>
  </r>
  <r>
    <x v="132"/>
    <x v="131"/>
    <x v="1"/>
    <d v="2024-07-07T00:00:00"/>
    <x v="1"/>
    <n v="5"/>
    <x v="0"/>
    <s v="No"/>
    <x v="1"/>
    <s v="No"/>
    <n v="0"/>
    <n v="1"/>
    <n v="4"/>
  </r>
  <r>
    <x v="133"/>
    <x v="132"/>
    <x v="0"/>
    <d v="2024-07-08T00:00:00"/>
    <x v="0"/>
    <n v="15"/>
    <x v="2"/>
    <s v="Yes"/>
    <x v="0"/>
    <s v="Yes"/>
    <n v="20"/>
    <n v="7"/>
    <n v="58"/>
  </r>
  <r>
    <x v="134"/>
    <x v="133"/>
    <x v="2"/>
    <d v="2024-07-09T00:00:00"/>
    <x v="1"/>
    <n v="10"/>
    <x v="0"/>
    <s v="No"/>
    <x v="1"/>
    <s v="Yes"/>
    <n v="20"/>
    <n v="10"/>
    <n v="20"/>
  </r>
  <r>
    <x v="135"/>
    <x v="134"/>
    <x v="1"/>
    <d v="2024-07-10T00:00:00"/>
    <x v="0"/>
    <n v="5"/>
    <x v="0"/>
    <s v="No"/>
    <x v="1"/>
    <s v="No"/>
    <n v="0"/>
    <n v="0"/>
    <n v="5"/>
  </r>
  <r>
    <x v="136"/>
    <x v="135"/>
    <x v="0"/>
    <d v="2024-07-11T00:00:00"/>
    <x v="1"/>
    <n v="15"/>
    <x v="2"/>
    <s v="Yes"/>
    <x v="0"/>
    <s v="Yes"/>
    <n v="20"/>
    <n v="7"/>
    <n v="58"/>
  </r>
  <r>
    <x v="137"/>
    <x v="136"/>
    <x v="2"/>
    <d v="2024-07-12T00:00:00"/>
    <x v="0"/>
    <n v="10"/>
    <x v="1"/>
    <s v="No"/>
    <x v="1"/>
    <s v="Yes"/>
    <n v="20"/>
    <n v="10"/>
    <n v="20"/>
  </r>
  <r>
    <x v="138"/>
    <x v="137"/>
    <x v="1"/>
    <d v="2024-07-13T00:00:00"/>
    <x v="1"/>
    <n v="5"/>
    <x v="2"/>
    <s v="No"/>
    <x v="1"/>
    <s v="No"/>
    <n v="0"/>
    <n v="1"/>
    <n v="4"/>
  </r>
  <r>
    <x v="139"/>
    <x v="138"/>
    <x v="0"/>
    <d v="2024-07-14T00:00:00"/>
    <x v="0"/>
    <n v="15"/>
    <x v="0"/>
    <s v="Yes"/>
    <x v="0"/>
    <s v="Yes"/>
    <n v="20"/>
    <n v="15"/>
    <n v="50"/>
  </r>
  <r>
    <x v="140"/>
    <x v="139"/>
    <x v="2"/>
    <d v="2024-07-15T00:00:00"/>
    <x v="1"/>
    <n v="10"/>
    <x v="0"/>
    <s v="No"/>
    <x v="1"/>
    <s v="Yes"/>
    <n v="20"/>
    <n v="5"/>
    <n v="25"/>
  </r>
  <r>
    <x v="141"/>
    <x v="140"/>
    <x v="1"/>
    <d v="2024-07-16T00:00:00"/>
    <x v="0"/>
    <n v="5"/>
    <x v="1"/>
    <s v="No"/>
    <x v="1"/>
    <s v="No"/>
    <n v="0"/>
    <n v="0"/>
    <n v="5"/>
  </r>
  <r>
    <x v="142"/>
    <x v="141"/>
    <x v="0"/>
    <d v="2024-07-17T00:00:00"/>
    <x v="1"/>
    <n v="15"/>
    <x v="2"/>
    <s v="Yes"/>
    <x v="0"/>
    <s v="Yes"/>
    <n v="20"/>
    <n v="20"/>
    <n v="45"/>
  </r>
  <r>
    <x v="143"/>
    <x v="142"/>
    <x v="2"/>
    <d v="2024-07-18T00:00:00"/>
    <x v="0"/>
    <n v="10"/>
    <x v="2"/>
    <s v="No"/>
    <x v="1"/>
    <s v="Yes"/>
    <n v="20"/>
    <n v="12"/>
    <n v="18"/>
  </r>
  <r>
    <x v="144"/>
    <x v="143"/>
    <x v="1"/>
    <d v="2024-07-19T00:00:00"/>
    <x v="1"/>
    <n v="5"/>
    <x v="0"/>
    <s v="No"/>
    <x v="1"/>
    <s v="No"/>
    <n v="0"/>
    <n v="2"/>
    <n v="3"/>
  </r>
  <r>
    <x v="145"/>
    <x v="144"/>
    <x v="0"/>
    <d v="2024-07-20T00:00:00"/>
    <x v="0"/>
    <n v="15"/>
    <x v="1"/>
    <s v="Yes"/>
    <x v="0"/>
    <s v="Yes"/>
    <n v="20"/>
    <n v="5"/>
    <n v="60"/>
  </r>
  <r>
    <x v="146"/>
    <x v="145"/>
    <x v="2"/>
    <d v="2024-07-21T00:00:00"/>
    <x v="1"/>
    <n v="10"/>
    <x v="0"/>
    <s v="No"/>
    <x v="1"/>
    <s v="Yes"/>
    <n v="20"/>
    <n v="10"/>
    <n v="20"/>
  </r>
  <r>
    <x v="147"/>
    <x v="146"/>
    <x v="1"/>
    <d v="2024-07-22T00:00:00"/>
    <x v="0"/>
    <n v="5"/>
    <x v="2"/>
    <s v="No"/>
    <x v="1"/>
    <s v="No"/>
    <n v="0"/>
    <n v="0"/>
    <n v="5"/>
  </r>
  <r>
    <x v="148"/>
    <x v="147"/>
    <x v="0"/>
    <d v="2024-07-23T00:00:00"/>
    <x v="1"/>
    <n v="15"/>
    <x v="0"/>
    <s v="Yes"/>
    <x v="0"/>
    <s v="Yes"/>
    <n v="20"/>
    <n v="3"/>
    <n v="62"/>
  </r>
  <r>
    <x v="149"/>
    <x v="148"/>
    <x v="2"/>
    <d v="2024-07-24T00:00:00"/>
    <x v="0"/>
    <n v="10"/>
    <x v="1"/>
    <s v="No"/>
    <x v="1"/>
    <s v="Yes"/>
    <n v="20"/>
    <n v="15"/>
    <n v="15"/>
  </r>
  <r>
    <x v="150"/>
    <x v="149"/>
    <x v="1"/>
    <d v="2024-07-25T00:00:00"/>
    <x v="1"/>
    <n v="5"/>
    <x v="0"/>
    <s v="No"/>
    <x v="1"/>
    <s v="No"/>
    <n v="0"/>
    <n v="1"/>
    <n v="4"/>
  </r>
  <r>
    <x v="151"/>
    <x v="150"/>
    <x v="0"/>
    <d v="2024-07-26T00:00:00"/>
    <x v="0"/>
    <n v="15"/>
    <x v="2"/>
    <s v="Yes"/>
    <x v="0"/>
    <s v="Yes"/>
    <n v="20"/>
    <n v="7"/>
    <n v="58"/>
  </r>
  <r>
    <x v="152"/>
    <x v="151"/>
    <x v="2"/>
    <d v="2024-07-27T00:00:00"/>
    <x v="1"/>
    <n v="10"/>
    <x v="0"/>
    <s v="No"/>
    <x v="1"/>
    <s v="Yes"/>
    <n v="20"/>
    <n v="10"/>
    <n v="20"/>
  </r>
  <r>
    <x v="153"/>
    <x v="152"/>
    <x v="1"/>
    <d v="2024-07-28T00:00:00"/>
    <x v="0"/>
    <n v="5"/>
    <x v="1"/>
    <s v="No"/>
    <x v="1"/>
    <s v="No"/>
    <n v="0"/>
    <n v="0"/>
    <n v="5"/>
  </r>
  <r>
    <x v="154"/>
    <x v="153"/>
    <x v="0"/>
    <d v="2024-07-29T00:00:00"/>
    <x v="1"/>
    <n v="15"/>
    <x v="0"/>
    <s v="Yes"/>
    <x v="0"/>
    <s v="Yes"/>
    <n v="20"/>
    <n v="20"/>
    <n v="45"/>
  </r>
  <r>
    <x v="155"/>
    <x v="154"/>
    <x v="2"/>
    <d v="2024-07-30T00:00:00"/>
    <x v="0"/>
    <n v="10"/>
    <x v="2"/>
    <s v="No"/>
    <x v="1"/>
    <s v="Yes"/>
    <n v="20"/>
    <n v="15"/>
    <n v="15"/>
  </r>
  <r>
    <x v="156"/>
    <x v="155"/>
    <x v="1"/>
    <d v="2024-07-31T00:00:00"/>
    <x v="1"/>
    <n v="5"/>
    <x v="0"/>
    <s v="No"/>
    <x v="1"/>
    <s v="No"/>
    <n v="0"/>
    <n v="1"/>
    <n v="4"/>
  </r>
  <r>
    <x v="157"/>
    <x v="156"/>
    <x v="0"/>
    <d v="2024-08-01T00:00:00"/>
    <x v="0"/>
    <n v="15"/>
    <x v="1"/>
    <s v="Yes"/>
    <x v="0"/>
    <s v="Yes"/>
    <n v="20"/>
    <n v="3"/>
    <n v="62"/>
  </r>
  <r>
    <x v="158"/>
    <x v="157"/>
    <x v="2"/>
    <d v="2024-08-02T00:00:00"/>
    <x v="1"/>
    <n v="10"/>
    <x v="0"/>
    <s v="No"/>
    <x v="1"/>
    <s v="Yes"/>
    <n v="20"/>
    <n v="10"/>
    <n v="20"/>
  </r>
  <r>
    <x v="159"/>
    <x v="158"/>
    <x v="1"/>
    <d v="2024-08-03T00:00:00"/>
    <x v="0"/>
    <n v="5"/>
    <x v="2"/>
    <s v="No"/>
    <x v="1"/>
    <s v="No"/>
    <n v="0"/>
    <n v="0"/>
    <n v="5"/>
  </r>
  <r>
    <x v="160"/>
    <x v="58"/>
    <x v="0"/>
    <d v="2024-08-04T00:00:00"/>
    <x v="1"/>
    <n v="15"/>
    <x v="0"/>
    <s v="Yes"/>
    <x v="0"/>
    <s v="Yes"/>
    <n v="20"/>
    <n v="15"/>
    <n v="50"/>
  </r>
  <r>
    <x v="161"/>
    <x v="159"/>
    <x v="2"/>
    <d v="2024-08-05T00:00:00"/>
    <x v="0"/>
    <n v="10"/>
    <x v="1"/>
    <s v="No"/>
    <x v="1"/>
    <s v="Yes"/>
    <n v="20"/>
    <n v="15"/>
    <n v="15"/>
  </r>
  <r>
    <x v="162"/>
    <x v="160"/>
    <x v="1"/>
    <d v="2024-08-06T00:00:00"/>
    <x v="1"/>
    <n v="5"/>
    <x v="0"/>
    <s v="No"/>
    <x v="1"/>
    <s v="No"/>
    <n v="0"/>
    <n v="1"/>
    <n v="4"/>
  </r>
  <r>
    <x v="163"/>
    <x v="161"/>
    <x v="0"/>
    <d v="2024-08-07T00:00:00"/>
    <x v="0"/>
    <n v="15"/>
    <x v="2"/>
    <s v="Yes"/>
    <x v="0"/>
    <s v="Yes"/>
    <n v="20"/>
    <n v="7"/>
    <n v="58"/>
  </r>
  <r>
    <x v="164"/>
    <x v="162"/>
    <x v="2"/>
    <d v="2024-08-08T00:00:00"/>
    <x v="1"/>
    <n v="10"/>
    <x v="0"/>
    <s v="No"/>
    <x v="1"/>
    <s v="Yes"/>
    <n v="20"/>
    <n v="10"/>
    <n v="20"/>
  </r>
  <r>
    <x v="165"/>
    <x v="163"/>
    <x v="1"/>
    <d v="2024-08-09T00:00:00"/>
    <x v="0"/>
    <n v="5"/>
    <x v="1"/>
    <s v="No"/>
    <x v="1"/>
    <s v="No"/>
    <n v="0"/>
    <n v="0"/>
    <n v="5"/>
  </r>
  <r>
    <x v="166"/>
    <x v="90"/>
    <x v="0"/>
    <d v="2024-08-10T00:00:00"/>
    <x v="1"/>
    <n v="15"/>
    <x v="0"/>
    <s v="Yes"/>
    <x v="0"/>
    <s v="Yes"/>
    <n v="20"/>
    <n v="20"/>
    <n v="45"/>
  </r>
  <r>
    <x v="167"/>
    <x v="164"/>
    <x v="2"/>
    <d v="2024-08-11T00:00:00"/>
    <x v="0"/>
    <n v="10"/>
    <x v="2"/>
    <s v="No"/>
    <x v="1"/>
    <s v="Yes"/>
    <n v="20"/>
    <n v="15"/>
    <n v="15"/>
  </r>
  <r>
    <x v="168"/>
    <x v="165"/>
    <x v="1"/>
    <d v="2024-08-12T00:00:00"/>
    <x v="1"/>
    <n v="5"/>
    <x v="0"/>
    <s v="No"/>
    <x v="1"/>
    <s v="No"/>
    <n v="0"/>
    <n v="1"/>
    <n v="4"/>
  </r>
  <r>
    <x v="169"/>
    <x v="166"/>
    <x v="0"/>
    <d v="2024-08-13T00:00:00"/>
    <x v="0"/>
    <n v="15"/>
    <x v="1"/>
    <s v="Yes"/>
    <x v="0"/>
    <s v="Yes"/>
    <n v="20"/>
    <n v="5"/>
    <n v="60"/>
  </r>
  <r>
    <x v="170"/>
    <x v="167"/>
    <x v="2"/>
    <d v="2024-08-14T00:00:00"/>
    <x v="1"/>
    <n v="10"/>
    <x v="0"/>
    <s v="No"/>
    <x v="1"/>
    <s v="Yes"/>
    <n v="20"/>
    <n v="10"/>
    <n v="20"/>
  </r>
  <r>
    <x v="171"/>
    <x v="168"/>
    <x v="1"/>
    <d v="2024-08-15T00:00:00"/>
    <x v="0"/>
    <n v="5"/>
    <x v="2"/>
    <s v="No"/>
    <x v="1"/>
    <s v="No"/>
    <n v="0"/>
    <n v="0"/>
    <n v="5"/>
  </r>
  <r>
    <x v="172"/>
    <x v="169"/>
    <x v="0"/>
    <d v="2024-08-16T00:00:00"/>
    <x v="1"/>
    <n v="15"/>
    <x v="0"/>
    <s v="Yes"/>
    <x v="0"/>
    <s v="Yes"/>
    <n v="20"/>
    <n v="3"/>
    <n v="62"/>
  </r>
  <r>
    <x v="173"/>
    <x v="170"/>
    <x v="2"/>
    <d v="2024-08-17T00:00:00"/>
    <x v="0"/>
    <n v="10"/>
    <x v="1"/>
    <s v="No"/>
    <x v="1"/>
    <s v="Yes"/>
    <n v="20"/>
    <n v="15"/>
    <n v="15"/>
  </r>
  <r>
    <x v="174"/>
    <x v="171"/>
    <x v="1"/>
    <d v="2024-08-18T00:00:00"/>
    <x v="1"/>
    <n v="5"/>
    <x v="0"/>
    <s v="No"/>
    <x v="1"/>
    <s v="No"/>
    <n v="0"/>
    <n v="1"/>
    <n v="4"/>
  </r>
  <r>
    <x v="175"/>
    <x v="172"/>
    <x v="1"/>
    <d v="2024-08-19T00:00:00"/>
    <x v="0"/>
    <n v="5"/>
    <x v="0"/>
    <s v="No"/>
    <x v="1"/>
    <s v="No"/>
    <n v="0"/>
    <n v="0"/>
    <n v="5"/>
  </r>
  <r>
    <x v="176"/>
    <x v="173"/>
    <x v="0"/>
    <d v="2024-08-20T00:00:00"/>
    <x v="1"/>
    <n v="15"/>
    <x v="2"/>
    <s v="Yes"/>
    <x v="0"/>
    <s v="Yes"/>
    <n v="20"/>
    <n v="7"/>
    <n v="58"/>
  </r>
  <r>
    <x v="177"/>
    <x v="174"/>
    <x v="2"/>
    <d v="2024-08-21T00:00:00"/>
    <x v="0"/>
    <n v="10"/>
    <x v="1"/>
    <s v="No"/>
    <x v="1"/>
    <s v="Yes"/>
    <n v="20"/>
    <n v="10"/>
    <n v="20"/>
  </r>
  <r>
    <x v="178"/>
    <x v="175"/>
    <x v="1"/>
    <d v="2024-08-22T00:00:00"/>
    <x v="1"/>
    <n v="5"/>
    <x v="2"/>
    <s v="No"/>
    <x v="1"/>
    <s v="No"/>
    <n v="0"/>
    <n v="1"/>
    <n v="4"/>
  </r>
  <r>
    <x v="179"/>
    <x v="176"/>
    <x v="0"/>
    <d v="2024-08-23T00:00:00"/>
    <x v="0"/>
    <n v="15"/>
    <x v="0"/>
    <s v="Yes"/>
    <x v="0"/>
    <s v="Yes"/>
    <n v="20"/>
    <n v="15"/>
    <n v="50"/>
  </r>
  <r>
    <x v="180"/>
    <x v="177"/>
    <x v="2"/>
    <d v="2024-08-24T00:00:00"/>
    <x v="1"/>
    <n v="10"/>
    <x v="0"/>
    <s v="No"/>
    <x v="1"/>
    <s v="Yes"/>
    <n v="20"/>
    <n v="5"/>
    <n v="25"/>
  </r>
  <r>
    <x v="181"/>
    <x v="178"/>
    <x v="1"/>
    <d v="2024-08-25T00:00:00"/>
    <x v="0"/>
    <n v="5"/>
    <x v="1"/>
    <s v="No"/>
    <x v="1"/>
    <s v="No"/>
    <n v="0"/>
    <n v="0"/>
    <n v="5"/>
  </r>
  <r>
    <x v="182"/>
    <x v="179"/>
    <x v="0"/>
    <d v="2024-08-26T00:00:00"/>
    <x v="1"/>
    <n v="15"/>
    <x v="2"/>
    <s v="Yes"/>
    <x v="0"/>
    <s v="Yes"/>
    <n v="20"/>
    <n v="20"/>
    <n v="45"/>
  </r>
  <r>
    <x v="183"/>
    <x v="180"/>
    <x v="2"/>
    <d v="2024-08-27T00:00:00"/>
    <x v="0"/>
    <n v="10"/>
    <x v="2"/>
    <s v="No"/>
    <x v="1"/>
    <s v="Yes"/>
    <n v="20"/>
    <n v="12"/>
    <n v="18"/>
  </r>
  <r>
    <x v="184"/>
    <x v="181"/>
    <x v="1"/>
    <d v="2024-08-28T00:00:00"/>
    <x v="1"/>
    <n v="5"/>
    <x v="0"/>
    <s v="No"/>
    <x v="1"/>
    <s v="No"/>
    <n v="0"/>
    <n v="2"/>
    <n v="3"/>
  </r>
  <r>
    <x v="185"/>
    <x v="182"/>
    <x v="0"/>
    <d v="2024-08-29T00:00:00"/>
    <x v="0"/>
    <n v="15"/>
    <x v="1"/>
    <s v="Yes"/>
    <x v="0"/>
    <s v="Yes"/>
    <n v="20"/>
    <n v="5"/>
    <n v="60"/>
  </r>
  <r>
    <x v="186"/>
    <x v="183"/>
    <x v="2"/>
    <d v="2024-08-30T00:00:00"/>
    <x v="1"/>
    <n v="10"/>
    <x v="0"/>
    <s v="No"/>
    <x v="1"/>
    <s v="Yes"/>
    <n v="20"/>
    <n v="10"/>
    <n v="20"/>
  </r>
  <r>
    <x v="187"/>
    <x v="184"/>
    <x v="1"/>
    <d v="2024-08-31T00:00:00"/>
    <x v="0"/>
    <n v="5"/>
    <x v="2"/>
    <s v="No"/>
    <x v="1"/>
    <s v="No"/>
    <n v="0"/>
    <n v="0"/>
    <n v="5"/>
  </r>
  <r>
    <x v="188"/>
    <x v="185"/>
    <x v="0"/>
    <d v="2024-09-01T00:00:00"/>
    <x v="1"/>
    <n v="15"/>
    <x v="0"/>
    <s v="Yes"/>
    <x v="0"/>
    <s v="Yes"/>
    <n v="20"/>
    <n v="3"/>
    <n v="62"/>
  </r>
  <r>
    <x v="189"/>
    <x v="186"/>
    <x v="2"/>
    <d v="2024-09-02T00:00:00"/>
    <x v="0"/>
    <n v="10"/>
    <x v="1"/>
    <s v="No"/>
    <x v="1"/>
    <s v="Yes"/>
    <n v="20"/>
    <n v="15"/>
    <n v="15"/>
  </r>
  <r>
    <x v="190"/>
    <x v="15"/>
    <x v="1"/>
    <d v="2024-09-03T00:00:00"/>
    <x v="1"/>
    <n v="5"/>
    <x v="0"/>
    <s v="No"/>
    <x v="1"/>
    <s v="No"/>
    <n v="0"/>
    <n v="1"/>
    <n v="4"/>
  </r>
  <r>
    <x v="191"/>
    <x v="187"/>
    <x v="0"/>
    <d v="2024-09-04T00:00:00"/>
    <x v="0"/>
    <n v="15"/>
    <x v="2"/>
    <s v="Yes"/>
    <x v="0"/>
    <s v="Yes"/>
    <n v="20"/>
    <n v="7"/>
    <n v="58"/>
  </r>
  <r>
    <x v="192"/>
    <x v="188"/>
    <x v="2"/>
    <d v="2024-09-05T00:00:00"/>
    <x v="1"/>
    <n v="10"/>
    <x v="0"/>
    <s v="No"/>
    <x v="1"/>
    <s v="Yes"/>
    <n v="20"/>
    <n v="10"/>
    <n v="20"/>
  </r>
  <r>
    <x v="193"/>
    <x v="14"/>
    <x v="1"/>
    <d v="2024-09-06T00:00:00"/>
    <x v="0"/>
    <n v="5"/>
    <x v="1"/>
    <s v="No"/>
    <x v="1"/>
    <s v="No"/>
    <n v="0"/>
    <n v="0"/>
    <n v="5"/>
  </r>
  <r>
    <x v="194"/>
    <x v="189"/>
    <x v="0"/>
    <d v="2024-09-07T00:00:00"/>
    <x v="1"/>
    <n v="15"/>
    <x v="0"/>
    <s v="Yes"/>
    <x v="0"/>
    <s v="Yes"/>
    <n v="20"/>
    <n v="20"/>
    <n v="45"/>
  </r>
  <r>
    <x v="195"/>
    <x v="167"/>
    <x v="2"/>
    <d v="2024-09-08T00:00:00"/>
    <x v="0"/>
    <n v="10"/>
    <x v="2"/>
    <s v="No"/>
    <x v="1"/>
    <s v="Yes"/>
    <n v="20"/>
    <n v="15"/>
    <n v="15"/>
  </r>
  <r>
    <x v="196"/>
    <x v="190"/>
    <x v="1"/>
    <d v="2024-09-09T00:00:00"/>
    <x v="1"/>
    <n v="5"/>
    <x v="0"/>
    <s v="No"/>
    <x v="1"/>
    <s v="No"/>
    <n v="0"/>
    <n v="1"/>
    <n v="4"/>
  </r>
  <r>
    <x v="197"/>
    <x v="191"/>
    <x v="0"/>
    <d v="2024-09-10T00:00:00"/>
    <x v="0"/>
    <n v="15"/>
    <x v="1"/>
    <s v="Yes"/>
    <x v="0"/>
    <s v="Yes"/>
    <n v="20"/>
    <n v="3"/>
    <n v="62"/>
  </r>
  <r>
    <x v="198"/>
    <x v="192"/>
    <x v="2"/>
    <d v="2024-09-11T00:00:00"/>
    <x v="1"/>
    <n v="10"/>
    <x v="0"/>
    <s v="No"/>
    <x v="1"/>
    <s v="Yes"/>
    <n v="20"/>
    <n v="10"/>
    <n v="20"/>
  </r>
  <r>
    <x v="199"/>
    <x v="193"/>
    <x v="1"/>
    <d v="2024-09-12T00:00:00"/>
    <x v="0"/>
    <n v="5"/>
    <x v="2"/>
    <s v="No"/>
    <x v="1"/>
    <s v="No"/>
    <n v="0"/>
    <n v="0"/>
    <n v="5"/>
  </r>
  <r>
    <x v="200"/>
    <x v="194"/>
    <x v="0"/>
    <d v="2024-09-13T00:00:00"/>
    <x v="1"/>
    <n v="15"/>
    <x v="0"/>
    <s v="Yes"/>
    <x v="0"/>
    <s v="Yes"/>
    <n v="20"/>
    <n v="15"/>
    <n v="50"/>
  </r>
  <r>
    <x v="201"/>
    <x v="195"/>
    <x v="2"/>
    <d v="2024-09-14T00:00:00"/>
    <x v="0"/>
    <n v="10"/>
    <x v="1"/>
    <s v="No"/>
    <x v="1"/>
    <s v="Yes"/>
    <n v="20"/>
    <n v="15"/>
    <n v="15"/>
  </r>
  <r>
    <x v="202"/>
    <x v="196"/>
    <x v="1"/>
    <d v="2024-09-15T00:00:00"/>
    <x v="1"/>
    <n v="5"/>
    <x v="0"/>
    <s v="No"/>
    <x v="1"/>
    <s v="No"/>
    <n v="0"/>
    <n v="1"/>
    <n v="4"/>
  </r>
  <r>
    <x v="203"/>
    <x v="197"/>
    <x v="0"/>
    <d v="2024-09-16T00:00:00"/>
    <x v="0"/>
    <n v="15"/>
    <x v="2"/>
    <s v="Yes"/>
    <x v="0"/>
    <s v="Yes"/>
    <n v="20"/>
    <n v="7"/>
    <n v="58"/>
  </r>
  <r>
    <x v="204"/>
    <x v="198"/>
    <x v="2"/>
    <d v="2024-09-17T00:00:00"/>
    <x v="1"/>
    <n v="10"/>
    <x v="0"/>
    <s v="No"/>
    <x v="1"/>
    <s v="Yes"/>
    <n v="20"/>
    <n v="10"/>
    <n v="20"/>
  </r>
  <r>
    <x v="205"/>
    <x v="199"/>
    <x v="1"/>
    <d v="2024-09-18T00:00:00"/>
    <x v="0"/>
    <n v="5"/>
    <x v="0"/>
    <s v="No"/>
    <x v="1"/>
    <s v="No"/>
    <n v="0"/>
    <n v="0"/>
    <n v="5"/>
  </r>
  <r>
    <x v="206"/>
    <x v="200"/>
    <x v="0"/>
    <d v="2024-09-19T00:00:00"/>
    <x v="1"/>
    <n v="15"/>
    <x v="2"/>
    <s v="Yes"/>
    <x v="0"/>
    <s v="Yes"/>
    <n v="20"/>
    <n v="7"/>
    <n v="58"/>
  </r>
  <r>
    <x v="207"/>
    <x v="201"/>
    <x v="2"/>
    <d v="2024-09-20T00:00:00"/>
    <x v="0"/>
    <n v="10"/>
    <x v="1"/>
    <s v="No"/>
    <x v="1"/>
    <s v="Yes"/>
    <n v="20"/>
    <n v="10"/>
    <n v="20"/>
  </r>
  <r>
    <x v="208"/>
    <x v="202"/>
    <x v="1"/>
    <d v="2024-09-21T00:00:00"/>
    <x v="1"/>
    <n v="5"/>
    <x v="2"/>
    <s v="No"/>
    <x v="1"/>
    <s v="No"/>
    <n v="0"/>
    <n v="1"/>
    <n v="4"/>
  </r>
  <r>
    <x v="209"/>
    <x v="203"/>
    <x v="0"/>
    <d v="2024-09-22T00:00:00"/>
    <x v="0"/>
    <n v="15"/>
    <x v="0"/>
    <s v="Yes"/>
    <x v="0"/>
    <s v="Yes"/>
    <n v="20"/>
    <n v="15"/>
    <n v="50"/>
  </r>
  <r>
    <x v="210"/>
    <x v="204"/>
    <x v="2"/>
    <d v="2024-09-23T00:00:00"/>
    <x v="1"/>
    <n v="10"/>
    <x v="0"/>
    <s v="No"/>
    <x v="1"/>
    <s v="Yes"/>
    <n v="20"/>
    <n v="5"/>
    <n v="25"/>
  </r>
  <r>
    <x v="211"/>
    <x v="205"/>
    <x v="1"/>
    <d v="2024-09-24T00:00:00"/>
    <x v="0"/>
    <n v="5"/>
    <x v="1"/>
    <s v="No"/>
    <x v="1"/>
    <s v="No"/>
    <n v="0"/>
    <n v="0"/>
    <n v="5"/>
  </r>
  <r>
    <x v="212"/>
    <x v="206"/>
    <x v="0"/>
    <d v="2024-09-25T00:00:00"/>
    <x v="1"/>
    <n v="15"/>
    <x v="2"/>
    <s v="Yes"/>
    <x v="0"/>
    <s v="Yes"/>
    <n v="20"/>
    <n v="20"/>
    <n v="45"/>
  </r>
  <r>
    <x v="213"/>
    <x v="207"/>
    <x v="2"/>
    <d v="2024-09-26T00:00:00"/>
    <x v="0"/>
    <n v="10"/>
    <x v="2"/>
    <s v="No"/>
    <x v="1"/>
    <s v="Yes"/>
    <n v="20"/>
    <n v="12"/>
    <n v="18"/>
  </r>
  <r>
    <x v="214"/>
    <x v="37"/>
    <x v="1"/>
    <d v="2024-09-27T00:00:00"/>
    <x v="1"/>
    <n v="5"/>
    <x v="0"/>
    <s v="No"/>
    <x v="1"/>
    <s v="No"/>
    <n v="0"/>
    <n v="2"/>
    <n v="3"/>
  </r>
  <r>
    <x v="215"/>
    <x v="208"/>
    <x v="0"/>
    <d v="2024-09-28T00:00:00"/>
    <x v="0"/>
    <n v="15"/>
    <x v="1"/>
    <s v="Yes"/>
    <x v="0"/>
    <s v="Yes"/>
    <n v="20"/>
    <n v="5"/>
    <n v="60"/>
  </r>
  <r>
    <x v="216"/>
    <x v="209"/>
    <x v="2"/>
    <d v="2024-09-29T00:00:00"/>
    <x v="1"/>
    <n v="10"/>
    <x v="0"/>
    <s v="No"/>
    <x v="1"/>
    <s v="Yes"/>
    <n v="20"/>
    <n v="10"/>
    <n v="20"/>
  </r>
  <r>
    <x v="217"/>
    <x v="210"/>
    <x v="1"/>
    <d v="2024-09-30T00:00:00"/>
    <x v="0"/>
    <n v="5"/>
    <x v="2"/>
    <s v="No"/>
    <x v="1"/>
    <s v="No"/>
    <n v="0"/>
    <n v="0"/>
    <n v="5"/>
  </r>
  <r>
    <x v="218"/>
    <x v="211"/>
    <x v="0"/>
    <d v="2024-10-01T00:00:00"/>
    <x v="1"/>
    <n v="15"/>
    <x v="0"/>
    <s v="Yes"/>
    <x v="0"/>
    <s v="Yes"/>
    <n v="20"/>
    <n v="3"/>
    <n v="62"/>
  </r>
  <r>
    <x v="219"/>
    <x v="212"/>
    <x v="2"/>
    <d v="2024-10-02T00:00:00"/>
    <x v="0"/>
    <n v="10"/>
    <x v="1"/>
    <s v="No"/>
    <x v="1"/>
    <s v="Yes"/>
    <n v="20"/>
    <n v="15"/>
    <n v="15"/>
  </r>
  <r>
    <x v="220"/>
    <x v="213"/>
    <x v="1"/>
    <d v="2024-10-03T00:00:00"/>
    <x v="1"/>
    <n v="5"/>
    <x v="0"/>
    <s v="No"/>
    <x v="1"/>
    <s v="No"/>
    <n v="0"/>
    <n v="1"/>
    <n v="4"/>
  </r>
  <r>
    <x v="221"/>
    <x v="191"/>
    <x v="0"/>
    <d v="2024-10-04T00:00:00"/>
    <x v="0"/>
    <n v="15"/>
    <x v="2"/>
    <s v="Yes"/>
    <x v="0"/>
    <s v="Yes"/>
    <n v="20"/>
    <n v="7"/>
    <n v="58"/>
  </r>
  <r>
    <x v="222"/>
    <x v="45"/>
    <x v="2"/>
    <d v="2024-10-05T00:00:00"/>
    <x v="1"/>
    <n v="10"/>
    <x v="0"/>
    <s v="No"/>
    <x v="1"/>
    <s v="Yes"/>
    <n v="20"/>
    <n v="10"/>
    <n v="20"/>
  </r>
  <r>
    <x v="223"/>
    <x v="214"/>
    <x v="1"/>
    <d v="2024-10-06T00:00:00"/>
    <x v="0"/>
    <n v="5"/>
    <x v="1"/>
    <s v="No"/>
    <x v="1"/>
    <s v="No"/>
    <n v="0"/>
    <n v="0"/>
    <n v="5"/>
  </r>
  <r>
    <x v="224"/>
    <x v="215"/>
    <x v="0"/>
    <d v="2024-10-07T00:00:00"/>
    <x v="1"/>
    <n v="15"/>
    <x v="0"/>
    <s v="Yes"/>
    <x v="0"/>
    <s v="Yes"/>
    <n v="20"/>
    <n v="20"/>
    <n v="45"/>
  </r>
  <r>
    <x v="225"/>
    <x v="216"/>
    <x v="2"/>
    <d v="2024-10-08T00:00:00"/>
    <x v="0"/>
    <n v="10"/>
    <x v="2"/>
    <s v="No"/>
    <x v="1"/>
    <s v="Yes"/>
    <n v="20"/>
    <n v="15"/>
    <n v="15"/>
  </r>
  <r>
    <x v="226"/>
    <x v="217"/>
    <x v="1"/>
    <d v="2024-10-09T00:00:00"/>
    <x v="1"/>
    <n v="5"/>
    <x v="0"/>
    <s v="No"/>
    <x v="1"/>
    <s v="No"/>
    <n v="0"/>
    <n v="1"/>
    <n v="4"/>
  </r>
  <r>
    <x v="227"/>
    <x v="218"/>
    <x v="0"/>
    <d v="2024-10-10T00:00:00"/>
    <x v="0"/>
    <n v="15"/>
    <x v="1"/>
    <s v="Yes"/>
    <x v="0"/>
    <s v="Yes"/>
    <n v="20"/>
    <n v="3"/>
    <n v="62"/>
  </r>
  <r>
    <x v="228"/>
    <x v="219"/>
    <x v="2"/>
    <d v="2024-10-11T00:00:00"/>
    <x v="1"/>
    <n v="10"/>
    <x v="0"/>
    <s v="No"/>
    <x v="1"/>
    <s v="Yes"/>
    <n v="20"/>
    <n v="10"/>
    <n v="20"/>
  </r>
  <r>
    <x v="229"/>
    <x v="127"/>
    <x v="1"/>
    <d v="2024-10-12T00:00:00"/>
    <x v="0"/>
    <n v="5"/>
    <x v="2"/>
    <s v="No"/>
    <x v="1"/>
    <s v="No"/>
    <n v="0"/>
    <n v="0"/>
    <n v="5"/>
  </r>
  <r>
    <x v="230"/>
    <x v="220"/>
    <x v="0"/>
    <d v="2024-10-13T00:00:00"/>
    <x v="1"/>
    <n v="15"/>
    <x v="0"/>
    <s v="Yes"/>
    <x v="0"/>
    <s v="Yes"/>
    <n v="20"/>
    <n v="15"/>
    <n v="50"/>
  </r>
  <r>
    <x v="231"/>
    <x v="221"/>
    <x v="2"/>
    <d v="2024-10-14T00:00:00"/>
    <x v="0"/>
    <n v="10"/>
    <x v="1"/>
    <s v="No"/>
    <x v="1"/>
    <s v="Yes"/>
    <n v="20"/>
    <n v="15"/>
    <n v="15"/>
  </r>
  <r>
    <x v="232"/>
    <x v="222"/>
    <x v="1"/>
    <d v="2024-10-15T00:00:00"/>
    <x v="1"/>
    <n v="5"/>
    <x v="0"/>
    <s v="No"/>
    <x v="1"/>
    <s v="No"/>
    <n v="0"/>
    <n v="1"/>
    <n v="4"/>
  </r>
  <r>
    <x v="233"/>
    <x v="223"/>
    <x v="0"/>
    <d v="2024-10-16T00:00:00"/>
    <x v="0"/>
    <n v="15"/>
    <x v="2"/>
    <s v="Yes"/>
    <x v="0"/>
    <s v="Yes"/>
    <n v="20"/>
    <n v="7"/>
    <n v="58"/>
  </r>
  <r>
    <x v="234"/>
    <x v="224"/>
    <x v="2"/>
    <d v="2024-10-17T00:00:00"/>
    <x v="1"/>
    <n v="10"/>
    <x v="0"/>
    <s v="No"/>
    <x v="1"/>
    <s v="Yes"/>
    <n v="20"/>
    <n v="10"/>
    <n v="20"/>
  </r>
  <r>
    <x v="235"/>
    <x v="225"/>
    <x v="1"/>
    <d v="2024-10-18T00:00:00"/>
    <x v="0"/>
    <n v="5"/>
    <x v="1"/>
    <s v="No"/>
    <x v="1"/>
    <s v="No"/>
    <n v="0"/>
    <n v="0"/>
    <n v="5"/>
  </r>
  <r>
    <x v="236"/>
    <x v="226"/>
    <x v="0"/>
    <d v="2024-10-19T00:00:00"/>
    <x v="1"/>
    <n v="15"/>
    <x v="0"/>
    <s v="Yes"/>
    <x v="0"/>
    <s v="Yes"/>
    <n v="20"/>
    <n v="15"/>
    <n v="50"/>
  </r>
  <r>
    <x v="237"/>
    <x v="227"/>
    <x v="2"/>
    <d v="2024-10-20T00:00:00"/>
    <x v="0"/>
    <n v="10"/>
    <x v="2"/>
    <s v="No"/>
    <x v="1"/>
    <s v="Yes"/>
    <n v="20"/>
    <n v="12"/>
    <n v="18"/>
  </r>
  <r>
    <x v="238"/>
    <x v="228"/>
    <x v="1"/>
    <d v="2024-10-21T00:00:00"/>
    <x v="1"/>
    <n v="5"/>
    <x v="0"/>
    <s v="No"/>
    <x v="1"/>
    <s v="No"/>
    <n v="0"/>
    <n v="2"/>
    <n v="3"/>
  </r>
  <r>
    <x v="239"/>
    <x v="229"/>
    <x v="0"/>
    <d v="2024-10-22T00:00:00"/>
    <x v="0"/>
    <n v="15"/>
    <x v="1"/>
    <s v="Yes"/>
    <x v="0"/>
    <s v="Yes"/>
    <n v="20"/>
    <n v="5"/>
    <n v="60"/>
  </r>
  <r>
    <x v="240"/>
    <x v="230"/>
    <x v="2"/>
    <d v="2024-10-23T00:00:00"/>
    <x v="1"/>
    <n v="10"/>
    <x v="0"/>
    <s v="No"/>
    <x v="1"/>
    <s v="Yes"/>
    <n v="20"/>
    <n v="10"/>
    <n v="20"/>
  </r>
  <r>
    <x v="241"/>
    <x v="231"/>
    <x v="1"/>
    <d v="2024-10-24T00:00:00"/>
    <x v="0"/>
    <n v="5"/>
    <x v="2"/>
    <s v="No"/>
    <x v="1"/>
    <s v="No"/>
    <n v="0"/>
    <n v="0"/>
    <n v="5"/>
  </r>
  <r>
    <x v="242"/>
    <x v="140"/>
    <x v="0"/>
    <d v="2024-10-25T00:00:00"/>
    <x v="1"/>
    <n v="15"/>
    <x v="0"/>
    <s v="Yes"/>
    <x v="0"/>
    <s v="Yes"/>
    <n v="20"/>
    <n v="3"/>
    <n v="62"/>
  </r>
  <r>
    <x v="243"/>
    <x v="232"/>
    <x v="2"/>
    <d v="2024-10-26T00:00:00"/>
    <x v="0"/>
    <n v="10"/>
    <x v="1"/>
    <s v="No"/>
    <x v="1"/>
    <s v="Yes"/>
    <n v="20"/>
    <n v="15"/>
    <n v="15"/>
  </r>
  <r>
    <x v="244"/>
    <x v="233"/>
    <x v="1"/>
    <d v="2024-10-27T00:00:00"/>
    <x v="1"/>
    <n v="5"/>
    <x v="0"/>
    <s v="No"/>
    <x v="1"/>
    <s v="No"/>
    <n v="0"/>
    <n v="1"/>
    <n v="4"/>
  </r>
  <r>
    <x v="245"/>
    <x v="234"/>
    <x v="0"/>
    <d v="2024-10-28T00:00:00"/>
    <x v="0"/>
    <n v="15"/>
    <x v="2"/>
    <s v="Yes"/>
    <x v="0"/>
    <s v="Yes"/>
    <n v="20"/>
    <n v="7"/>
    <n v="58"/>
  </r>
  <r>
    <x v="246"/>
    <x v="235"/>
    <x v="2"/>
    <d v="2024-10-29T00:00:00"/>
    <x v="1"/>
    <n v="10"/>
    <x v="0"/>
    <s v="No"/>
    <x v="1"/>
    <s v="Yes"/>
    <n v="20"/>
    <n v="10"/>
    <n v="20"/>
  </r>
  <r>
    <x v="247"/>
    <x v="236"/>
    <x v="1"/>
    <d v="2024-10-30T00:00:00"/>
    <x v="0"/>
    <n v="5"/>
    <x v="1"/>
    <s v="No"/>
    <x v="1"/>
    <s v="No"/>
    <n v="0"/>
    <n v="0"/>
    <n v="5"/>
  </r>
  <r>
    <x v="248"/>
    <x v="237"/>
    <x v="0"/>
    <d v="2024-10-31T00:00:00"/>
    <x v="1"/>
    <n v="15"/>
    <x v="0"/>
    <s v="Yes"/>
    <x v="0"/>
    <s v="Yes"/>
    <n v="20"/>
    <n v="20"/>
    <n v="45"/>
  </r>
  <r>
    <x v="249"/>
    <x v="238"/>
    <x v="2"/>
    <d v="2024-11-01T00:00:00"/>
    <x v="0"/>
    <n v="10"/>
    <x v="2"/>
    <s v="No"/>
    <x v="1"/>
    <s v="Yes"/>
    <n v="20"/>
    <n v="15"/>
    <n v="15"/>
  </r>
  <r>
    <x v="250"/>
    <x v="239"/>
    <x v="1"/>
    <d v="2024-11-02T00:00:00"/>
    <x v="1"/>
    <n v="5"/>
    <x v="0"/>
    <s v="No"/>
    <x v="1"/>
    <s v="No"/>
    <n v="0"/>
    <n v="1"/>
    <n v="4"/>
  </r>
  <r>
    <x v="251"/>
    <x v="240"/>
    <x v="0"/>
    <d v="2024-11-03T00:00:00"/>
    <x v="0"/>
    <n v="15"/>
    <x v="1"/>
    <s v="Yes"/>
    <x v="0"/>
    <s v="Yes"/>
    <n v="20"/>
    <n v="3"/>
    <n v="62"/>
  </r>
  <r>
    <x v="252"/>
    <x v="241"/>
    <x v="2"/>
    <d v="2024-11-04T00:00:00"/>
    <x v="1"/>
    <n v="10"/>
    <x v="0"/>
    <s v="No"/>
    <x v="1"/>
    <s v="Yes"/>
    <n v="20"/>
    <n v="10"/>
    <n v="20"/>
  </r>
  <r>
    <x v="253"/>
    <x v="242"/>
    <x v="1"/>
    <d v="2024-11-05T00:00:00"/>
    <x v="0"/>
    <n v="5"/>
    <x v="2"/>
    <s v="No"/>
    <x v="1"/>
    <s v="No"/>
    <n v="0"/>
    <n v="0"/>
    <n v="5"/>
  </r>
  <r>
    <x v="254"/>
    <x v="243"/>
    <x v="0"/>
    <d v="2024-11-06T00:00:00"/>
    <x v="1"/>
    <n v="15"/>
    <x v="0"/>
    <s v="Yes"/>
    <x v="0"/>
    <s v="Yes"/>
    <n v="20"/>
    <n v="15"/>
    <n v="50"/>
  </r>
  <r>
    <x v="255"/>
    <x v="244"/>
    <x v="1"/>
    <d v="2024-11-07T00:00:00"/>
    <x v="0"/>
    <n v="5"/>
    <x v="0"/>
    <s v="No"/>
    <x v="1"/>
    <s v="No"/>
    <n v="0"/>
    <n v="0"/>
    <n v="5"/>
  </r>
  <r>
    <x v="256"/>
    <x v="245"/>
    <x v="0"/>
    <d v="2024-11-08T00:00:00"/>
    <x v="1"/>
    <n v="15"/>
    <x v="2"/>
    <s v="Yes"/>
    <x v="0"/>
    <s v="Yes"/>
    <n v="20"/>
    <n v="7"/>
    <n v="58"/>
  </r>
  <r>
    <x v="257"/>
    <x v="246"/>
    <x v="2"/>
    <d v="2024-11-09T00:00:00"/>
    <x v="0"/>
    <n v="10"/>
    <x v="1"/>
    <s v="No"/>
    <x v="1"/>
    <s v="Yes"/>
    <n v="20"/>
    <n v="10"/>
    <n v="20"/>
  </r>
  <r>
    <x v="258"/>
    <x v="247"/>
    <x v="1"/>
    <d v="2024-11-10T00:00:00"/>
    <x v="1"/>
    <n v="5"/>
    <x v="2"/>
    <s v="No"/>
    <x v="1"/>
    <s v="No"/>
    <n v="0"/>
    <n v="1"/>
    <n v="4"/>
  </r>
  <r>
    <x v="259"/>
    <x v="248"/>
    <x v="0"/>
    <d v="2024-11-11T00:00:00"/>
    <x v="0"/>
    <n v="15"/>
    <x v="0"/>
    <s v="Yes"/>
    <x v="0"/>
    <s v="Yes"/>
    <n v="20"/>
    <n v="15"/>
    <n v="50"/>
  </r>
  <r>
    <x v="260"/>
    <x v="249"/>
    <x v="2"/>
    <d v="2024-11-12T00:00:00"/>
    <x v="1"/>
    <n v="10"/>
    <x v="0"/>
    <s v="No"/>
    <x v="1"/>
    <s v="Yes"/>
    <n v="20"/>
    <n v="5"/>
    <n v="25"/>
  </r>
  <r>
    <x v="261"/>
    <x v="250"/>
    <x v="1"/>
    <d v="2024-11-13T00:00:00"/>
    <x v="0"/>
    <n v="5"/>
    <x v="1"/>
    <s v="No"/>
    <x v="1"/>
    <s v="No"/>
    <n v="0"/>
    <n v="0"/>
    <n v="5"/>
  </r>
  <r>
    <x v="262"/>
    <x v="251"/>
    <x v="0"/>
    <d v="2024-11-14T00:00:00"/>
    <x v="1"/>
    <n v="15"/>
    <x v="2"/>
    <s v="Yes"/>
    <x v="0"/>
    <s v="Yes"/>
    <n v="20"/>
    <n v="20"/>
    <n v="45"/>
  </r>
  <r>
    <x v="263"/>
    <x v="252"/>
    <x v="2"/>
    <d v="2024-11-15T00:00:00"/>
    <x v="0"/>
    <n v="10"/>
    <x v="2"/>
    <s v="No"/>
    <x v="1"/>
    <s v="Yes"/>
    <n v="20"/>
    <n v="12"/>
    <n v="18"/>
  </r>
  <r>
    <x v="264"/>
    <x v="253"/>
    <x v="1"/>
    <d v="2024-11-16T00:00:00"/>
    <x v="1"/>
    <n v="5"/>
    <x v="0"/>
    <s v="No"/>
    <x v="1"/>
    <s v="No"/>
    <n v="0"/>
    <n v="2"/>
    <n v="3"/>
  </r>
  <r>
    <x v="265"/>
    <x v="254"/>
    <x v="0"/>
    <d v="2024-11-17T00:00:00"/>
    <x v="0"/>
    <n v="15"/>
    <x v="1"/>
    <s v="Yes"/>
    <x v="0"/>
    <s v="Yes"/>
    <n v="20"/>
    <n v="5"/>
    <n v="60"/>
  </r>
  <r>
    <x v="266"/>
    <x v="255"/>
    <x v="2"/>
    <d v="2024-11-18T00:00:00"/>
    <x v="1"/>
    <n v="10"/>
    <x v="0"/>
    <s v="No"/>
    <x v="1"/>
    <s v="Yes"/>
    <n v="20"/>
    <n v="10"/>
    <n v="20"/>
  </r>
  <r>
    <x v="267"/>
    <x v="256"/>
    <x v="1"/>
    <d v="2024-11-19T00:00:00"/>
    <x v="0"/>
    <n v="5"/>
    <x v="2"/>
    <s v="No"/>
    <x v="1"/>
    <s v="No"/>
    <n v="0"/>
    <n v="0"/>
    <n v="5"/>
  </r>
  <r>
    <x v="268"/>
    <x v="257"/>
    <x v="0"/>
    <d v="2024-11-20T00:00:00"/>
    <x v="1"/>
    <n v="15"/>
    <x v="0"/>
    <s v="Yes"/>
    <x v="0"/>
    <s v="Yes"/>
    <n v="20"/>
    <n v="3"/>
    <n v="62"/>
  </r>
  <r>
    <x v="269"/>
    <x v="258"/>
    <x v="2"/>
    <d v="2024-11-21T00:00:00"/>
    <x v="0"/>
    <n v="10"/>
    <x v="1"/>
    <s v="No"/>
    <x v="1"/>
    <s v="Yes"/>
    <n v="20"/>
    <n v="15"/>
    <n v="15"/>
  </r>
  <r>
    <x v="270"/>
    <x v="259"/>
    <x v="1"/>
    <d v="2024-11-22T00:00:00"/>
    <x v="1"/>
    <n v="5"/>
    <x v="0"/>
    <s v="No"/>
    <x v="1"/>
    <s v="No"/>
    <n v="0"/>
    <n v="1"/>
    <n v="4"/>
  </r>
  <r>
    <x v="271"/>
    <x v="260"/>
    <x v="0"/>
    <d v="2024-11-23T00:00:00"/>
    <x v="0"/>
    <n v="15"/>
    <x v="2"/>
    <s v="Yes"/>
    <x v="0"/>
    <s v="Yes"/>
    <n v="20"/>
    <n v="7"/>
    <n v="58"/>
  </r>
  <r>
    <x v="272"/>
    <x v="119"/>
    <x v="2"/>
    <d v="2024-11-24T00:00:00"/>
    <x v="1"/>
    <n v="10"/>
    <x v="0"/>
    <s v="No"/>
    <x v="1"/>
    <s v="Yes"/>
    <n v="20"/>
    <n v="10"/>
    <n v="20"/>
  </r>
  <r>
    <x v="273"/>
    <x v="261"/>
    <x v="1"/>
    <d v="2024-11-25T00:00:00"/>
    <x v="0"/>
    <n v="5"/>
    <x v="1"/>
    <s v="No"/>
    <x v="1"/>
    <s v="No"/>
    <n v="0"/>
    <n v="0"/>
    <n v="5"/>
  </r>
  <r>
    <x v="274"/>
    <x v="262"/>
    <x v="0"/>
    <d v="2024-11-26T00:00:00"/>
    <x v="1"/>
    <n v="15"/>
    <x v="0"/>
    <s v="Yes"/>
    <x v="0"/>
    <s v="Yes"/>
    <n v="20"/>
    <n v="20"/>
    <n v="45"/>
  </r>
  <r>
    <x v="275"/>
    <x v="263"/>
    <x v="2"/>
    <d v="2024-11-27T00:00:00"/>
    <x v="0"/>
    <n v="10"/>
    <x v="2"/>
    <s v="No"/>
    <x v="1"/>
    <s v="Yes"/>
    <n v="20"/>
    <n v="15"/>
    <n v="15"/>
  </r>
  <r>
    <x v="276"/>
    <x v="264"/>
    <x v="1"/>
    <d v="2024-11-28T00:00:00"/>
    <x v="1"/>
    <n v="5"/>
    <x v="0"/>
    <s v="No"/>
    <x v="1"/>
    <s v="No"/>
    <n v="0"/>
    <n v="1"/>
    <n v="4"/>
  </r>
  <r>
    <x v="277"/>
    <x v="265"/>
    <x v="0"/>
    <d v="2024-11-29T00:00:00"/>
    <x v="0"/>
    <n v="15"/>
    <x v="1"/>
    <s v="Yes"/>
    <x v="0"/>
    <s v="Yes"/>
    <n v="20"/>
    <n v="3"/>
    <n v="62"/>
  </r>
  <r>
    <x v="278"/>
    <x v="266"/>
    <x v="2"/>
    <d v="2024-11-30T00:00:00"/>
    <x v="1"/>
    <n v="10"/>
    <x v="0"/>
    <s v="No"/>
    <x v="1"/>
    <s v="Yes"/>
    <n v="20"/>
    <n v="10"/>
    <n v="20"/>
  </r>
  <r>
    <x v="279"/>
    <x v="267"/>
    <x v="1"/>
    <d v="2024-12-01T00:00:00"/>
    <x v="0"/>
    <n v="5"/>
    <x v="2"/>
    <s v="No"/>
    <x v="1"/>
    <s v="No"/>
    <n v="0"/>
    <n v="0"/>
    <n v="5"/>
  </r>
  <r>
    <x v="280"/>
    <x v="268"/>
    <x v="0"/>
    <d v="2024-12-02T00:00:00"/>
    <x v="1"/>
    <n v="15"/>
    <x v="0"/>
    <s v="Yes"/>
    <x v="0"/>
    <s v="Yes"/>
    <n v="20"/>
    <n v="15"/>
    <n v="50"/>
  </r>
  <r>
    <x v="281"/>
    <x v="269"/>
    <x v="2"/>
    <d v="2024-12-03T00:00:00"/>
    <x v="0"/>
    <n v="10"/>
    <x v="1"/>
    <s v="No"/>
    <x v="1"/>
    <s v="Yes"/>
    <n v="20"/>
    <n v="15"/>
    <n v="15"/>
  </r>
  <r>
    <x v="282"/>
    <x v="270"/>
    <x v="1"/>
    <d v="2024-12-04T00:00:00"/>
    <x v="1"/>
    <n v="5"/>
    <x v="0"/>
    <s v="No"/>
    <x v="1"/>
    <s v="No"/>
    <n v="0"/>
    <n v="1"/>
    <n v="4"/>
  </r>
  <r>
    <x v="283"/>
    <x v="271"/>
    <x v="0"/>
    <d v="2024-12-05T00:00:00"/>
    <x v="0"/>
    <n v="15"/>
    <x v="2"/>
    <s v="Yes"/>
    <x v="0"/>
    <s v="Yes"/>
    <n v="20"/>
    <n v="7"/>
    <n v="58"/>
  </r>
  <r>
    <x v="284"/>
    <x v="130"/>
    <x v="2"/>
    <d v="2024-12-06T00:00:00"/>
    <x v="1"/>
    <n v="10"/>
    <x v="0"/>
    <s v="No"/>
    <x v="1"/>
    <s v="Yes"/>
    <n v="20"/>
    <n v="10"/>
    <n v="20"/>
  </r>
  <r>
    <x v="285"/>
    <x v="131"/>
    <x v="1"/>
    <d v="2024-12-07T00:00:00"/>
    <x v="0"/>
    <n v="5"/>
    <x v="1"/>
    <s v="No"/>
    <x v="1"/>
    <s v="No"/>
    <n v="0"/>
    <n v="0"/>
    <n v="5"/>
  </r>
  <r>
    <x v="286"/>
    <x v="181"/>
    <x v="0"/>
    <d v="2024-12-08T00:00:00"/>
    <x v="1"/>
    <n v="15"/>
    <x v="0"/>
    <s v="Yes"/>
    <x v="0"/>
    <s v="Yes"/>
    <n v="20"/>
    <n v="20"/>
    <n v="45"/>
  </r>
  <r>
    <x v="287"/>
    <x v="272"/>
    <x v="2"/>
    <d v="2024-12-09T00:00:00"/>
    <x v="0"/>
    <n v="10"/>
    <x v="2"/>
    <s v="No"/>
    <x v="1"/>
    <s v="Yes"/>
    <n v="20"/>
    <n v="12"/>
    <n v="18"/>
  </r>
  <r>
    <x v="288"/>
    <x v="273"/>
    <x v="1"/>
    <d v="2024-12-10T00:00:00"/>
    <x v="1"/>
    <n v="5"/>
    <x v="0"/>
    <s v="No"/>
    <x v="1"/>
    <s v="No"/>
    <n v="0"/>
    <n v="2"/>
    <n v="3"/>
  </r>
  <r>
    <x v="289"/>
    <x v="274"/>
    <x v="0"/>
    <d v="2024-12-11T00:00:00"/>
    <x v="0"/>
    <n v="15"/>
    <x v="1"/>
    <s v="Yes"/>
    <x v="0"/>
    <s v="Yes"/>
    <n v="20"/>
    <n v="5"/>
    <n v="60"/>
  </r>
  <r>
    <x v="290"/>
    <x v="275"/>
    <x v="2"/>
    <d v="2024-12-12T00:00:00"/>
    <x v="1"/>
    <n v="10"/>
    <x v="0"/>
    <s v="No"/>
    <x v="1"/>
    <s v="Yes"/>
    <n v="20"/>
    <n v="10"/>
    <n v="20"/>
  </r>
  <r>
    <x v="291"/>
    <x v="276"/>
    <x v="1"/>
    <d v="2024-12-13T00:00:00"/>
    <x v="0"/>
    <n v="5"/>
    <x v="2"/>
    <s v="No"/>
    <x v="1"/>
    <s v="No"/>
    <n v="0"/>
    <n v="0"/>
    <n v="5"/>
  </r>
  <r>
    <x v="292"/>
    <x v="277"/>
    <x v="0"/>
    <d v="2024-12-14T00:00:00"/>
    <x v="1"/>
    <n v="15"/>
    <x v="0"/>
    <s v="Yes"/>
    <x v="0"/>
    <s v="Yes"/>
    <n v="20"/>
    <n v="3"/>
    <n v="62"/>
  </r>
  <r>
    <x v="293"/>
    <x v="278"/>
    <x v="2"/>
    <d v="2024-12-15T00:00:00"/>
    <x v="0"/>
    <n v="10"/>
    <x v="1"/>
    <s v="No"/>
    <x v="1"/>
    <s v="Yes"/>
    <n v="20"/>
    <n v="15"/>
    <n v="15"/>
  </r>
  <r>
    <x v="294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C258A-D0CE-4882-A662-A04BEBDFC6C5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0:C34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91652-D0E5-4D3F-BE61-CCFBE900603C}" name="tbl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9:C23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9C989-ECCF-4BA7-8EF0-713569B688BC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0:C13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0C19A5F-2423-48B7-BDFC-B2A04D2B13D2}" sourceName="Subscription Type">
  <pivotTables>
    <pivotTable tabId="3" name="tbl_annual_total"/>
    <pivotTable tabId="3" name="tbl_easeasonpass_total"/>
    <pivotTable tabId="3" name="Tabela dinâmica3"/>
  </pivotTables>
  <data>
    <tabular pivotCacheId="48187395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16A8D06-B375-43E7-A3CC-F71D320A2C2E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0557B6-22A3-49AD-9EF2-448E12E49F21}" name="Tabela2" displayName="Tabela2" ref="A3:M36" totalsRowShown="0">
  <autoFilter ref="A3:M36" xr:uid="{410557B6-22A3-49AD-9EF2-448E12E49F21}"/>
  <tableColumns count="13">
    <tableColumn id="1" xr3:uid="{93ED738A-3F99-4E0F-8907-5D6555A7D1AD}" name="Subscriber ID"/>
    <tableColumn id="2" xr3:uid="{6A8D0355-ECCE-4462-A4FE-F18B3EE6B76B}" name="Name"/>
    <tableColumn id="3" xr3:uid="{953148DA-AA6C-4132-9029-367CF304526C}" name="Plan"/>
    <tableColumn id="4" xr3:uid="{0435A1ED-8D0C-4AD4-8EB0-A0568EBAB0BF}" name="Start Date" dataDxfId="0"/>
    <tableColumn id="5" xr3:uid="{E145094C-9989-41E3-875C-FF80372C68BD}" name="Auto Renewal"/>
    <tableColumn id="6" xr3:uid="{A4FB082C-92B1-4B99-AE5E-1C8069120FA0}" name="Subscription Price"/>
    <tableColumn id="7" xr3:uid="{873C49D2-542B-460C-89E3-BFD6C9A77BC7}" name="Subscription Type"/>
    <tableColumn id="8" xr3:uid="{E1363951-FA68-4362-AF75-430DB2600082}" name="EA Play Season Pass"/>
    <tableColumn id="9" xr3:uid="{AC2C82FB-E4E2-4370-84CD-18D9C15138AC}" name="EA Play Season Pass_x000a_Price"/>
    <tableColumn id="10" xr3:uid="{03F7AC6B-3126-469F-AE08-8B983D7C861D}" name="Minecraft Season Pass"/>
    <tableColumn id="11" xr3:uid="{D519A17F-2E24-4A3E-8161-865488DA45BB}" name="Minecraft Season Pass Price"/>
    <tableColumn id="12" xr3:uid="{DA926E62-622B-44CF-8E50-52C56621A307}" name="Coupon Value"/>
    <tableColumn id="13" xr3:uid="{1C835AC3-E600-45F0-8864-AA42ECF3FB50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7" sqref="B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682C-1030-485D-BDDE-851157D7BC7E}">
  <sheetPr>
    <tabColor theme="3" tint="0.749992370372631"/>
  </sheetPr>
  <dimension ref="A1:M36"/>
  <sheetViews>
    <sheetView workbookViewId="0">
      <selection activeCell="B7" sqref="B7"/>
    </sheetView>
  </sheetViews>
  <sheetFormatPr defaultRowHeight="15" x14ac:dyDescent="0.25"/>
  <cols>
    <col min="1" max="1" width="15.5703125" bestFit="1" customWidth="1"/>
    <col min="2" max="2" width="18.85546875" bestFit="1" customWidth="1"/>
    <col min="3" max="3" width="9.2851562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7109375" bestFit="1" customWidth="1"/>
    <col min="8" max="8" width="21.5703125" bestFit="1" customWidth="1"/>
    <col min="9" max="9" width="27.140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140625" bestFit="1" customWidth="1"/>
  </cols>
  <sheetData>
    <row r="1" spans="1:13" x14ac:dyDescent="0.25">
      <c r="A1" s="19" t="s">
        <v>322</v>
      </c>
    </row>
    <row r="3" spans="1:13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25">
      <c r="A4">
        <v>3514</v>
      </c>
      <c r="B4" t="s">
        <v>300</v>
      </c>
      <c r="C4" t="s">
        <v>18</v>
      </c>
      <c r="D4" s="18">
        <v>45631</v>
      </c>
      <c r="E4" t="s">
        <v>19</v>
      </c>
      <c r="F4">
        <v>15</v>
      </c>
      <c r="G4" t="s">
        <v>27</v>
      </c>
      <c r="H4" t="s">
        <v>19</v>
      </c>
      <c r="I4">
        <v>30</v>
      </c>
      <c r="J4" t="s">
        <v>19</v>
      </c>
      <c r="K4">
        <v>20</v>
      </c>
      <c r="L4">
        <v>7</v>
      </c>
      <c r="M4">
        <v>58</v>
      </c>
    </row>
    <row r="5" spans="1:13" x14ac:dyDescent="0.25">
      <c r="A5">
        <v>3502</v>
      </c>
      <c r="B5" t="s">
        <v>289</v>
      </c>
      <c r="C5" t="s">
        <v>18</v>
      </c>
      <c r="D5" s="18">
        <v>45619</v>
      </c>
      <c r="E5" t="s">
        <v>19</v>
      </c>
      <c r="F5">
        <v>15</v>
      </c>
      <c r="G5" t="s">
        <v>27</v>
      </c>
      <c r="H5" t="s">
        <v>19</v>
      </c>
      <c r="I5">
        <v>30</v>
      </c>
      <c r="J5" t="s">
        <v>19</v>
      </c>
      <c r="K5">
        <v>20</v>
      </c>
      <c r="L5">
        <v>7</v>
      </c>
      <c r="M5">
        <v>58</v>
      </c>
    </row>
    <row r="6" spans="1:13" x14ac:dyDescent="0.25">
      <c r="A6">
        <v>3493</v>
      </c>
      <c r="B6" t="s">
        <v>280</v>
      </c>
      <c r="C6" t="s">
        <v>18</v>
      </c>
      <c r="D6" s="18">
        <v>45610</v>
      </c>
      <c r="E6" t="s">
        <v>23</v>
      </c>
      <c r="F6">
        <v>15</v>
      </c>
      <c r="G6" t="s">
        <v>27</v>
      </c>
      <c r="H6" t="s">
        <v>19</v>
      </c>
      <c r="I6">
        <v>30</v>
      </c>
      <c r="J6" t="s">
        <v>19</v>
      </c>
      <c r="K6">
        <v>20</v>
      </c>
      <c r="L6">
        <v>20</v>
      </c>
      <c r="M6">
        <v>45</v>
      </c>
    </row>
    <row r="7" spans="1:13" x14ac:dyDescent="0.25">
      <c r="A7">
        <v>3487</v>
      </c>
      <c r="B7" t="s">
        <v>274</v>
      </c>
      <c r="C7" t="s">
        <v>18</v>
      </c>
      <c r="D7" s="18">
        <v>45604</v>
      </c>
      <c r="E7" t="s">
        <v>23</v>
      </c>
      <c r="F7">
        <v>15</v>
      </c>
      <c r="G7" t="s">
        <v>27</v>
      </c>
      <c r="H7" t="s">
        <v>19</v>
      </c>
      <c r="I7">
        <v>30</v>
      </c>
      <c r="J7" t="s">
        <v>19</v>
      </c>
      <c r="K7">
        <v>20</v>
      </c>
      <c r="L7">
        <v>7</v>
      </c>
      <c r="M7">
        <v>58</v>
      </c>
    </row>
    <row r="8" spans="1:13" x14ac:dyDescent="0.25">
      <c r="A8">
        <v>3476</v>
      </c>
      <c r="B8" t="s">
        <v>263</v>
      </c>
      <c r="C8" t="s">
        <v>18</v>
      </c>
      <c r="D8" s="18">
        <v>45593</v>
      </c>
      <c r="E8" t="s">
        <v>19</v>
      </c>
      <c r="F8">
        <v>15</v>
      </c>
      <c r="G8" t="s">
        <v>27</v>
      </c>
      <c r="H8" t="s">
        <v>19</v>
      </c>
      <c r="I8">
        <v>30</v>
      </c>
      <c r="J8" t="s">
        <v>19</v>
      </c>
      <c r="K8">
        <v>20</v>
      </c>
      <c r="L8">
        <v>7</v>
      </c>
      <c r="M8">
        <v>58</v>
      </c>
    </row>
    <row r="9" spans="1:13" x14ac:dyDescent="0.25">
      <c r="A9">
        <v>3464</v>
      </c>
      <c r="B9" t="s">
        <v>252</v>
      </c>
      <c r="C9" t="s">
        <v>18</v>
      </c>
      <c r="D9" s="18">
        <v>45581</v>
      </c>
      <c r="E9" t="s">
        <v>19</v>
      </c>
      <c r="F9">
        <v>15</v>
      </c>
      <c r="G9" t="s">
        <v>27</v>
      </c>
      <c r="H9" t="s">
        <v>19</v>
      </c>
      <c r="I9">
        <v>30</v>
      </c>
      <c r="J9" t="s">
        <v>19</v>
      </c>
      <c r="K9">
        <v>20</v>
      </c>
      <c r="L9">
        <v>7</v>
      </c>
      <c r="M9">
        <v>58</v>
      </c>
    </row>
    <row r="10" spans="1:13" x14ac:dyDescent="0.25">
      <c r="A10">
        <v>3237</v>
      </c>
      <c r="B10" t="s">
        <v>35</v>
      </c>
      <c r="C10" t="s">
        <v>18</v>
      </c>
      <c r="D10" s="18">
        <v>45354</v>
      </c>
      <c r="E10" t="s">
        <v>19</v>
      </c>
      <c r="F10">
        <v>15</v>
      </c>
      <c r="G10" t="s">
        <v>27</v>
      </c>
      <c r="H10" t="s">
        <v>19</v>
      </c>
      <c r="I10">
        <v>30</v>
      </c>
      <c r="J10" t="s">
        <v>19</v>
      </c>
      <c r="K10">
        <v>20</v>
      </c>
      <c r="L10">
        <v>10</v>
      </c>
      <c r="M10">
        <v>55</v>
      </c>
    </row>
    <row r="11" spans="1:13" x14ac:dyDescent="0.25">
      <c r="A11">
        <v>3452</v>
      </c>
      <c r="B11" t="s">
        <v>220</v>
      </c>
      <c r="C11" t="s">
        <v>18</v>
      </c>
      <c r="D11" s="18">
        <v>45569</v>
      </c>
      <c r="E11" t="s">
        <v>19</v>
      </c>
      <c r="F11">
        <v>15</v>
      </c>
      <c r="G11" t="s">
        <v>27</v>
      </c>
      <c r="H11" t="s">
        <v>19</v>
      </c>
      <c r="I11">
        <v>30</v>
      </c>
      <c r="J11" t="s">
        <v>19</v>
      </c>
      <c r="K11">
        <v>20</v>
      </c>
      <c r="L11">
        <v>7</v>
      </c>
      <c r="M11">
        <v>58</v>
      </c>
    </row>
    <row r="12" spans="1:13" x14ac:dyDescent="0.25">
      <c r="A12">
        <v>3443</v>
      </c>
      <c r="B12" t="s">
        <v>235</v>
      </c>
      <c r="C12" t="s">
        <v>18</v>
      </c>
      <c r="D12" s="18">
        <v>45560</v>
      </c>
      <c r="E12" t="s">
        <v>23</v>
      </c>
      <c r="F12">
        <v>15</v>
      </c>
      <c r="G12" t="s">
        <v>27</v>
      </c>
      <c r="H12" t="s">
        <v>19</v>
      </c>
      <c r="I12">
        <v>30</v>
      </c>
      <c r="J12" t="s">
        <v>19</v>
      </c>
      <c r="K12">
        <v>20</v>
      </c>
      <c r="L12">
        <v>20</v>
      </c>
      <c r="M12">
        <v>45</v>
      </c>
    </row>
    <row r="13" spans="1:13" x14ac:dyDescent="0.25">
      <c r="A13">
        <v>3437</v>
      </c>
      <c r="B13" t="s">
        <v>229</v>
      </c>
      <c r="C13" t="s">
        <v>18</v>
      </c>
      <c r="D13" s="18">
        <v>45554</v>
      </c>
      <c r="E13" t="s">
        <v>23</v>
      </c>
      <c r="F13">
        <v>15</v>
      </c>
      <c r="G13" t="s">
        <v>27</v>
      </c>
      <c r="H13" t="s">
        <v>19</v>
      </c>
      <c r="I13">
        <v>30</v>
      </c>
      <c r="J13" t="s">
        <v>19</v>
      </c>
      <c r="K13">
        <v>20</v>
      </c>
      <c r="L13">
        <v>7</v>
      </c>
      <c r="M13">
        <v>58</v>
      </c>
    </row>
    <row r="14" spans="1:13" x14ac:dyDescent="0.25">
      <c r="A14">
        <v>3434</v>
      </c>
      <c r="B14" t="s">
        <v>226</v>
      </c>
      <c r="C14" t="s">
        <v>18</v>
      </c>
      <c r="D14" s="18">
        <v>45551</v>
      </c>
      <c r="E14" t="s">
        <v>19</v>
      </c>
      <c r="F14">
        <v>15</v>
      </c>
      <c r="G14" t="s">
        <v>27</v>
      </c>
      <c r="H14" t="s">
        <v>19</v>
      </c>
      <c r="I14">
        <v>30</v>
      </c>
      <c r="J14" t="s">
        <v>19</v>
      </c>
      <c r="K14">
        <v>20</v>
      </c>
      <c r="L14">
        <v>7</v>
      </c>
      <c r="M14">
        <v>58</v>
      </c>
    </row>
    <row r="15" spans="1:13" x14ac:dyDescent="0.25">
      <c r="A15">
        <v>3422</v>
      </c>
      <c r="B15" t="s">
        <v>216</v>
      </c>
      <c r="C15" t="s">
        <v>18</v>
      </c>
      <c r="D15" s="18">
        <v>45539</v>
      </c>
      <c r="E15" t="s">
        <v>19</v>
      </c>
      <c r="F15">
        <v>15</v>
      </c>
      <c r="G15" t="s">
        <v>27</v>
      </c>
      <c r="H15" t="s">
        <v>19</v>
      </c>
      <c r="I15">
        <v>30</v>
      </c>
      <c r="J15" t="s">
        <v>19</v>
      </c>
      <c r="K15">
        <v>20</v>
      </c>
      <c r="L15">
        <v>7</v>
      </c>
      <c r="M15">
        <v>58</v>
      </c>
    </row>
    <row r="16" spans="1:13" x14ac:dyDescent="0.25">
      <c r="A16">
        <v>3413</v>
      </c>
      <c r="B16" t="s">
        <v>208</v>
      </c>
      <c r="C16" t="s">
        <v>18</v>
      </c>
      <c r="D16" s="18">
        <v>45530</v>
      </c>
      <c r="E16" t="s">
        <v>23</v>
      </c>
      <c r="F16">
        <v>15</v>
      </c>
      <c r="G16" t="s">
        <v>27</v>
      </c>
      <c r="H16" t="s">
        <v>19</v>
      </c>
      <c r="I16">
        <v>30</v>
      </c>
      <c r="J16" t="s">
        <v>19</v>
      </c>
      <c r="K16">
        <v>20</v>
      </c>
      <c r="L16">
        <v>20</v>
      </c>
      <c r="M16">
        <v>45</v>
      </c>
    </row>
    <row r="17" spans="1:13" x14ac:dyDescent="0.25">
      <c r="A17">
        <v>3407</v>
      </c>
      <c r="B17" t="s">
        <v>202</v>
      </c>
      <c r="C17" t="s">
        <v>18</v>
      </c>
      <c r="D17" s="18">
        <v>45524</v>
      </c>
      <c r="E17" t="s">
        <v>23</v>
      </c>
      <c r="F17">
        <v>15</v>
      </c>
      <c r="G17" t="s">
        <v>27</v>
      </c>
      <c r="H17" t="s">
        <v>19</v>
      </c>
      <c r="I17">
        <v>30</v>
      </c>
      <c r="J17" t="s">
        <v>19</v>
      </c>
      <c r="K17">
        <v>20</v>
      </c>
      <c r="L17">
        <v>7</v>
      </c>
      <c r="M17">
        <v>58</v>
      </c>
    </row>
    <row r="18" spans="1:13" x14ac:dyDescent="0.25">
      <c r="A18">
        <v>3394</v>
      </c>
      <c r="B18" t="s">
        <v>190</v>
      </c>
      <c r="C18" t="s">
        <v>18</v>
      </c>
      <c r="D18" s="18">
        <v>45511</v>
      </c>
      <c r="E18" t="s">
        <v>19</v>
      </c>
      <c r="F18">
        <v>15</v>
      </c>
      <c r="G18" t="s">
        <v>27</v>
      </c>
      <c r="H18" t="s">
        <v>19</v>
      </c>
      <c r="I18">
        <v>30</v>
      </c>
      <c r="J18" t="s">
        <v>19</v>
      </c>
      <c r="K18">
        <v>20</v>
      </c>
      <c r="L18">
        <v>7</v>
      </c>
      <c r="M18">
        <v>58</v>
      </c>
    </row>
    <row r="19" spans="1:13" x14ac:dyDescent="0.25">
      <c r="A19">
        <v>3382</v>
      </c>
      <c r="B19" t="s">
        <v>179</v>
      </c>
      <c r="C19" t="s">
        <v>18</v>
      </c>
      <c r="D19" s="18">
        <v>45499</v>
      </c>
      <c r="E19" t="s">
        <v>19</v>
      </c>
      <c r="F19">
        <v>15</v>
      </c>
      <c r="G19" t="s">
        <v>27</v>
      </c>
      <c r="H19" t="s">
        <v>19</v>
      </c>
      <c r="I19">
        <v>30</v>
      </c>
      <c r="J19" t="s">
        <v>19</v>
      </c>
      <c r="K19">
        <v>20</v>
      </c>
      <c r="L19">
        <v>7</v>
      </c>
      <c r="M19">
        <v>58</v>
      </c>
    </row>
    <row r="20" spans="1:13" x14ac:dyDescent="0.25">
      <c r="A20">
        <v>3373</v>
      </c>
      <c r="B20" t="s">
        <v>170</v>
      </c>
      <c r="C20" t="s">
        <v>18</v>
      </c>
      <c r="D20" s="18">
        <v>45490</v>
      </c>
      <c r="E20" t="s">
        <v>23</v>
      </c>
      <c r="F20">
        <v>15</v>
      </c>
      <c r="G20" t="s">
        <v>27</v>
      </c>
      <c r="H20" t="s">
        <v>19</v>
      </c>
      <c r="I20">
        <v>30</v>
      </c>
      <c r="J20" t="s">
        <v>19</v>
      </c>
      <c r="K20">
        <v>20</v>
      </c>
      <c r="L20">
        <v>20</v>
      </c>
      <c r="M20">
        <v>45</v>
      </c>
    </row>
    <row r="21" spans="1:13" x14ac:dyDescent="0.25">
      <c r="A21">
        <v>3248</v>
      </c>
      <c r="B21" t="s">
        <v>46</v>
      </c>
      <c r="C21" t="s">
        <v>18</v>
      </c>
      <c r="D21" s="18">
        <v>45365</v>
      </c>
      <c r="E21" t="s">
        <v>19</v>
      </c>
      <c r="F21">
        <v>15</v>
      </c>
      <c r="G21" t="s">
        <v>27</v>
      </c>
      <c r="H21" t="s">
        <v>19</v>
      </c>
      <c r="I21">
        <v>30</v>
      </c>
      <c r="J21" t="s">
        <v>19</v>
      </c>
      <c r="K21">
        <v>20</v>
      </c>
      <c r="L21">
        <v>7</v>
      </c>
      <c r="M21">
        <v>58</v>
      </c>
    </row>
    <row r="22" spans="1:13" x14ac:dyDescent="0.25">
      <c r="A22">
        <v>3367</v>
      </c>
      <c r="B22" t="s">
        <v>164</v>
      </c>
      <c r="C22" t="s">
        <v>18</v>
      </c>
      <c r="D22" s="18">
        <v>45484</v>
      </c>
      <c r="E22" t="s">
        <v>23</v>
      </c>
      <c r="F22">
        <v>15</v>
      </c>
      <c r="G22" t="s">
        <v>27</v>
      </c>
      <c r="H22" t="s">
        <v>19</v>
      </c>
      <c r="I22">
        <v>30</v>
      </c>
      <c r="J22" t="s">
        <v>19</v>
      </c>
      <c r="K22">
        <v>20</v>
      </c>
      <c r="L22">
        <v>7</v>
      </c>
      <c r="M22">
        <v>58</v>
      </c>
    </row>
    <row r="23" spans="1:13" x14ac:dyDescent="0.25">
      <c r="A23">
        <v>3364</v>
      </c>
      <c r="B23" t="s">
        <v>161</v>
      </c>
      <c r="C23" t="s">
        <v>18</v>
      </c>
      <c r="D23" s="18">
        <v>45481</v>
      </c>
      <c r="E23" t="s">
        <v>19</v>
      </c>
      <c r="F23">
        <v>15</v>
      </c>
      <c r="G23" t="s">
        <v>27</v>
      </c>
      <c r="H23" t="s">
        <v>19</v>
      </c>
      <c r="I23">
        <v>30</v>
      </c>
      <c r="J23" t="s">
        <v>19</v>
      </c>
      <c r="K23">
        <v>20</v>
      </c>
      <c r="L23">
        <v>7</v>
      </c>
      <c r="M23">
        <v>58</v>
      </c>
    </row>
    <row r="24" spans="1:13" x14ac:dyDescent="0.25">
      <c r="A24">
        <v>3352</v>
      </c>
      <c r="B24" t="s">
        <v>149</v>
      </c>
      <c r="C24" t="s">
        <v>18</v>
      </c>
      <c r="D24" s="18">
        <v>45469</v>
      </c>
      <c r="E24" t="s">
        <v>19</v>
      </c>
      <c r="F24">
        <v>15</v>
      </c>
      <c r="G24" t="s">
        <v>27</v>
      </c>
      <c r="H24" t="s">
        <v>19</v>
      </c>
      <c r="I24">
        <v>30</v>
      </c>
      <c r="J24" t="s">
        <v>19</v>
      </c>
      <c r="K24">
        <v>20</v>
      </c>
      <c r="L24">
        <v>7</v>
      </c>
      <c r="M24">
        <v>58</v>
      </c>
    </row>
    <row r="25" spans="1:13" x14ac:dyDescent="0.25">
      <c r="A25">
        <v>3343</v>
      </c>
      <c r="B25" t="s">
        <v>141</v>
      </c>
      <c r="C25" t="s">
        <v>18</v>
      </c>
      <c r="D25" s="18">
        <v>45460</v>
      </c>
      <c r="E25" t="s">
        <v>23</v>
      </c>
      <c r="F25">
        <v>15</v>
      </c>
      <c r="G25" t="s">
        <v>27</v>
      </c>
      <c r="H25" t="s">
        <v>19</v>
      </c>
      <c r="I25">
        <v>30</v>
      </c>
      <c r="J25" t="s">
        <v>19</v>
      </c>
      <c r="K25">
        <v>20</v>
      </c>
      <c r="L25">
        <v>20</v>
      </c>
      <c r="M25">
        <v>45</v>
      </c>
    </row>
    <row r="26" spans="1:13" x14ac:dyDescent="0.25">
      <c r="A26">
        <v>3337</v>
      </c>
      <c r="B26" t="s">
        <v>135</v>
      </c>
      <c r="C26" t="s">
        <v>18</v>
      </c>
      <c r="D26" s="18">
        <v>45454</v>
      </c>
      <c r="E26" t="s">
        <v>23</v>
      </c>
      <c r="F26">
        <v>15</v>
      </c>
      <c r="G26" t="s">
        <v>27</v>
      </c>
      <c r="H26" t="s">
        <v>19</v>
      </c>
      <c r="I26">
        <v>30</v>
      </c>
      <c r="J26" t="s">
        <v>19</v>
      </c>
      <c r="K26">
        <v>20</v>
      </c>
      <c r="L26">
        <v>7</v>
      </c>
      <c r="M26">
        <v>58</v>
      </c>
    </row>
    <row r="27" spans="1:13" x14ac:dyDescent="0.25">
      <c r="A27">
        <v>3333</v>
      </c>
      <c r="B27" t="s">
        <v>131</v>
      </c>
      <c r="C27" t="s">
        <v>18</v>
      </c>
      <c r="D27" s="18">
        <v>45450</v>
      </c>
      <c r="E27" t="s">
        <v>19</v>
      </c>
      <c r="F27">
        <v>15</v>
      </c>
      <c r="G27" t="s">
        <v>27</v>
      </c>
      <c r="H27" t="s">
        <v>19</v>
      </c>
      <c r="I27">
        <v>30</v>
      </c>
      <c r="J27" t="s">
        <v>19</v>
      </c>
      <c r="K27">
        <v>20</v>
      </c>
      <c r="L27">
        <v>20</v>
      </c>
      <c r="M27">
        <v>45</v>
      </c>
    </row>
    <row r="28" spans="1:13" x14ac:dyDescent="0.25">
      <c r="A28">
        <v>3324</v>
      </c>
      <c r="B28" t="s">
        <v>122</v>
      </c>
      <c r="C28" t="s">
        <v>18</v>
      </c>
      <c r="D28" s="18">
        <v>45441</v>
      </c>
      <c r="E28" t="s">
        <v>23</v>
      </c>
      <c r="F28">
        <v>15</v>
      </c>
      <c r="G28" t="s">
        <v>27</v>
      </c>
      <c r="H28" t="s">
        <v>19</v>
      </c>
      <c r="I28">
        <v>30</v>
      </c>
      <c r="J28" t="s">
        <v>19</v>
      </c>
      <c r="K28">
        <v>20</v>
      </c>
      <c r="L28">
        <v>20</v>
      </c>
      <c r="M28">
        <v>45</v>
      </c>
    </row>
    <row r="29" spans="1:13" x14ac:dyDescent="0.25">
      <c r="A29">
        <v>3312</v>
      </c>
      <c r="B29" t="s">
        <v>110</v>
      </c>
      <c r="C29" t="s">
        <v>18</v>
      </c>
      <c r="D29" s="18">
        <v>45429</v>
      </c>
      <c r="E29" t="s">
        <v>23</v>
      </c>
      <c r="F29">
        <v>15</v>
      </c>
      <c r="G29" t="s">
        <v>27</v>
      </c>
      <c r="H29" t="s">
        <v>19</v>
      </c>
      <c r="I29">
        <v>30</v>
      </c>
      <c r="J29" t="s">
        <v>19</v>
      </c>
      <c r="K29">
        <v>20</v>
      </c>
      <c r="L29">
        <v>7</v>
      </c>
      <c r="M29">
        <v>58</v>
      </c>
    </row>
    <row r="30" spans="1:13" x14ac:dyDescent="0.25">
      <c r="A30">
        <v>3303</v>
      </c>
      <c r="B30" t="s">
        <v>101</v>
      </c>
      <c r="C30" t="s">
        <v>18</v>
      </c>
      <c r="D30" s="18">
        <v>45420</v>
      </c>
      <c r="E30" t="s">
        <v>19</v>
      </c>
      <c r="F30">
        <v>15</v>
      </c>
      <c r="G30" t="s">
        <v>27</v>
      </c>
      <c r="H30" t="s">
        <v>19</v>
      </c>
      <c r="I30">
        <v>30</v>
      </c>
      <c r="J30" t="s">
        <v>19</v>
      </c>
      <c r="K30">
        <v>20</v>
      </c>
      <c r="L30">
        <v>20</v>
      </c>
      <c r="M30">
        <v>45</v>
      </c>
    </row>
    <row r="31" spans="1:13" x14ac:dyDescent="0.25">
      <c r="A31">
        <v>3297</v>
      </c>
      <c r="B31" t="s">
        <v>95</v>
      </c>
      <c r="C31" t="s">
        <v>18</v>
      </c>
      <c r="D31" s="18">
        <v>45414</v>
      </c>
      <c r="E31" t="s">
        <v>19</v>
      </c>
      <c r="F31">
        <v>15</v>
      </c>
      <c r="G31" t="s">
        <v>27</v>
      </c>
      <c r="H31" t="s">
        <v>19</v>
      </c>
      <c r="I31">
        <v>30</v>
      </c>
      <c r="J31" t="s">
        <v>19</v>
      </c>
      <c r="K31">
        <v>20</v>
      </c>
      <c r="L31">
        <v>7</v>
      </c>
      <c r="M31">
        <v>58</v>
      </c>
    </row>
    <row r="32" spans="1:13" x14ac:dyDescent="0.25">
      <c r="A32">
        <v>3294</v>
      </c>
      <c r="B32" t="s">
        <v>92</v>
      </c>
      <c r="C32" t="s">
        <v>18</v>
      </c>
      <c r="D32" s="18">
        <v>45411</v>
      </c>
      <c r="E32" t="s">
        <v>19</v>
      </c>
      <c r="F32">
        <v>15</v>
      </c>
      <c r="G32" t="s">
        <v>27</v>
      </c>
      <c r="H32" t="s">
        <v>19</v>
      </c>
      <c r="I32">
        <v>30</v>
      </c>
      <c r="J32" t="s">
        <v>19</v>
      </c>
      <c r="K32">
        <v>20</v>
      </c>
      <c r="L32">
        <v>20</v>
      </c>
      <c r="M32">
        <v>45</v>
      </c>
    </row>
    <row r="33" spans="1:13" x14ac:dyDescent="0.25">
      <c r="A33">
        <v>3260</v>
      </c>
      <c r="B33" t="s">
        <v>58</v>
      </c>
      <c r="C33" t="s">
        <v>18</v>
      </c>
      <c r="D33" s="18">
        <v>45377</v>
      </c>
      <c r="E33" t="s">
        <v>19</v>
      </c>
      <c r="F33">
        <v>15</v>
      </c>
      <c r="G33" t="s">
        <v>27</v>
      </c>
      <c r="H33" t="s">
        <v>19</v>
      </c>
      <c r="I33">
        <v>30</v>
      </c>
      <c r="J33" t="s">
        <v>19</v>
      </c>
      <c r="K33">
        <v>20</v>
      </c>
      <c r="L33">
        <v>7</v>
      </c>
      <c r="M33">
        <v>58</v>
      </c>
    </row>
    <row r="34" spans="1:13" x14ac:dyDescent="0.25">
      <c r="A34">
        <v>3282</v>
      </c>
      <c r="B34" t="s">
        <v>80</v>
      </c>
      <c r="C34" t="s">
        <v>18</v>
      </c>
      <c r="D34" s="18">
        <v>45399</v>
      </c>
      <c r="E34" t="s">
        <v>19</v>
      </c>
      <c r="F34">
        <v>15</v>
      </c>
      <c r="G34" t="s">
        <v>27</v>
      </c>
      <c r="H34" t="s">
        <v>19</v>
      </c>
      <c r="I34">
        <v>30</v>
      </c>
      <c r="J34" t="s">
        <v>19</v>
      </c>
      <c r="K34">
        <v>20</v>
      </c>
      <c r="L34">
        <v>7</v>
      </c>
      <c r="M34">
        <v>58</v>
      </c>
    </row>
    <row r="35" spans="1:13" x14ac:dyDescent="0.25">
      <c r="A35">
        <v>3273</v>
      </c>
      <c r="B35" t="s">
        <v>71</v>
      </c>
      <c r="C35" t="s">
        <v>18</v>
      </c>
      <c r="D35" s="18">
        <v>45390</v>
      </c>
      <c r="E35" t="s">
        <v>23</v>
      </c>
      <c r="F35">
        <v>15</v>
      </c>
      <c r="G35" t="s">
        <v>27</v>
      </c>
      <c r="H35" t="s">
        <v>19</v>
      </c>
      <c r="I35">
        <v>30</v>
      </c>
      <c r="J35" t="s">
        <v>19</v>
      </c>
      <c r="K35">
        <v>20</v>
      </c>
      <c r="L35">
        <v>20</v>
      </c>
      <c r="M35">
        <v>45</v>
      </c>
    </row>
    <row r="36" spans="1:13" x14ac:dyDescent="0.25">
      <c r="A36">
        <v>3267</v>
      </c>
      <c r="B36" t="s">
        <v>65</v>
      </c>
      <c r="C36" t="s">
        <v>18</v>
      </c>
      <c r="D36" s="18">
        <v>45384</v>
      </c>
      <c r="E36" t="s">
        <v>23</v>
      </c>
      <c r="F36">
        <v>15</v>
      </c>
      <c r="G36" t="s">
        <v>27</v>
      </c>
      <c r="H36" t="s">
        <v>19</v>
      </c>
      <c r="I36">
        <v>30</v>
      </c>
      <c r="J36" t="s">
        <v>19</v>
      </c>
      <c r="K36">
        <v>20</v>
      </c>
      <c r="L36">
        <v>7</v>
      </c>
      <c r="M36">
        <v>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4"/>
  <sheetViews>
    <sheetView showGridLines="0" topLeftCell="A6" workbookViewId="0">
      <selection activeCell="B7" sqref="B7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21.7109375" bestFit="1" customWidth="1"/>
    <col min="5" max="5" width="12.57031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t="s">
        <v>313</v>
      </c>
    </row>
    <row r="4" spans="2:3" x14ac:dyDescent="0.25">
      <c r="B4" t="s">
        <v>317</v>
      </c>
    </row>
    <row r="8" spans="2:3" x14ac:dyDescent="0.25">
      <c r="B8" s="12" t="s">
        <v>16</v>
      </c>
      <c r="C8" t="s">
        <v>27</v>
      </c>
    </row>
    <row r="10" spans="2:3" x14ac:dyDescent="0.25">
      <c r="B10" s="12" t="s">
        <v>314</v>
      </c>
      <c r="C10" t="s">
        <v>316</v>
      </c>
    </row>
    <row r="11" spans="2:3" x14ac:dyDescent="0.25">
      <c r="B11" s="13" t="s">
        <v>23</v>
      </c>
      <c r="C11" s="14">
        <v>806</v>
      </c>
    </row>
    <row r="12" spans="2:3" x14ac:dyDescent="0.25">
      <c r="B12" s="13" t="s">
        <v>19</v>
      </c>
      <c r="C12" s="14">
        <v>1502</v>
      </c>
    </row>
    <row r="13" spans="2:3" x14ac:dyDescent="0.25">
      <c r="B13" s="13" t="s">
        <v>315</v>
      </c>
      <c r="C13" s="14">
        <v>2308</v>
      </c>
    </row>
    <row r="14" spans="2:3" x14ac:dyDescent="0.25">
      <c r="B14" s="13"/>
      <c r="C14" s="14"/>
    </row>
    <row r="15" spans="2:3" x14ac:dyDescent="0.25">
      <c r="B15" s="13" t="s">
        <v>319</v>
      </c>
    </row>
    <row r="17" spans="2:5" x14ac:dyDescent="0.25">
      <c r="B17" s="12" t="s">
        <v>16</v>
      </c>
      <c r="C17" t="s">
        <v>27</v>
      </c>
    </row>
    <row r="19" spans="2:5" x14ac:dyDescent="0.25">
      <c r="B19" s="12" t="s">
        <v>314</v>
      </c>
      <c r="C19" t="s">
        <v>320</v>
      </c>
    </row>
    <row r="20" spans="2:5" x14ac:dyDescent="0.25">
      <c r="B20" s="13" t="s">
        <v>22</v>
      </c>
      <c r="C20" s="15">
        <v>0</v>
      </c>
    </row>
    <row r="21" spans="2:5" x14ac:dyDescent="0.25">
      <c r="B21" s="13" t="s">
        <v>26</v>
      </c>
      <c r="C21" s="15">
        <v>0</v>
      </c>
    </row>
    <row r="22" spans="2:5" x14ac:dyDescent="0.25">
      <c r="B22" s="13" t="s">
        <v>18</v>
      </c>
      <c r="C22" s="15">
        <v>990</v>
      </c>
    </row>
    <row r="23" spans="2:5" x14ac:dyDescent="0.25">
      <c r="B23" s="13" t="s">
        <v>315</v>
      </c>
      <c r="C23" s="15">
        <v>990</v>
      </c>
      <c r="E23" s="17">
        <f>GETPIVOTDATA("EA Play Season Pass
Price",$B$19)</f>
        <v>990</v>
      </c>
    </row>
    <row r="26" spans="2:5" x14ac:dyDescent="0.25">
      <c r="B26" s="13" t="s">
        <v>321</v>
      </c>
    </row>
    <row r="28" spans="2:5" x14ac:dyDescent="0.25">
      <c r="B28" s="12" t="s">
        <v>16</v>
      </c>
      <c r="C28" t="s">
        <v>27</v>
      </c>
    </row>
    <row r="29" spans="2:5" ht="16.5" customHeight="1" x14ac:dyDescent="0.25"/>
    <row r="30" spans="2:5" x14ac:dyDescent="0.25">
      <c r="B30" s="12" t="s">
        <v>314</v>
      </c>
      <c r="C30" t="s">
        <v>323</v>
      </c>
    </row>
    <row r="31" spans="2:5" x14ac:dyDescent="0.25">
      <c r="B31" s="13" t="s">
        <v>22</v>
      </c>
      <c r="C31" s="14">
        <v>0</v>
      </c>
    </row>
    <row r="32" spans="2:5" x14ac:dyDescent="0.25">
      <c r="B32" s="13" t="s">
        <v>26</v>
      </c>
      <c r="C32" s="14">
        <v>480</v>
      </c>
    </row>
    <row r="33" spans="2:5" x14ac:dyDescent="0.25">
      <c r="B33" s="13" t="s">
        <v>18</v>
      </c>
      <c r="C33" s="14">
        <v>660</v>
      </c>
    </row>
    <row r="34" spans="2:5" x14ac:dyDescent="0.25">
      <c r="B34" s="13" t="s">
        <v>315</v>
      </c>
      <c r="C34" s="14">
        <v>1140</v>
      </c>
      <c r="E34" s="17">
        <f>GETPIVOTDATA("Minecraft Season Pass Price",$B$30)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136"/>
  <sheetViews>
    <sheetView showGridLines="0" showRowColHeaders="0" tabSelected="1" zoomScale="80" zoomScaleNormal="80" workbookViewId="0">
      <selection activeCell="X19" sqref="X19"/>
    </sheetView>
  </sheetViews>
  <sheetFormatPr defaultRowHeight="15" x14ac:dyDescent="0.25"/>
  <cols>
    <col min="1" max="1" width="32.140625" style="4" customWidth="1"/>
    <col min="2" max="2" width="3.5703125" customWidth="1"/>
    <col min="12" max="12" width="6.5703125" customWidth="1"/>
  </cols>
  <sheetData>
    <row r="2" spans="1:20" ht="34.5" customHeight="1" thickBot="1" x14ac:dyDescent="0.5">
      <c r="C2" s="21" t="s">
        <v>318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20"/>
      <c r="S2" s="20"/>
      <c r="T2" s="20"/>
    </row>
    <row r="3" spans="1:20" ht="19.5" customHeight="1" x14ac:dyDescent="0.25"/>
    <row r="4" spans="1:20" s="7" customFormat="1" ht="8.25" customHeight="1" x14ac:dyDescent="0.25">
      <c r="A4" s="4"/>
    </row>
    <row r="5" spans="1:20" s="7" customFormat="1" ht="7.5" customHeight="1" x14ac:dyDescent="0.25">
      <c r="A5" s="4"/>
    </row>
    <row r="6" spans="1:20" s="7" customFormat="1" ht="10.5" customHeight="1" x14ac:dyDescent="0.25">
      <c r="A6" s="4"/>
    </row>
    <row r="7" spans="1:20" s="7" customFormat="1" ht="9.75" customHeight="1" x14ac:dyDescent="0.25">
      <c r="A7" s="4"/>
    </row>
    <row r="8" spans="1:20" s="7" customFormat="1" ht="33" customHeight="1" x14ac:dyDescent="0.25">
      <c r="A8" s="4"/>
    </row>
    <row r="9" spans="1:20" s="7" customFormat="1" x14ac:dyDescent="0.25">
      <c r="A9" s="4"/>
    </row>
    <row r="10" spans="1:20" s="7" customFormat="1" x14ac:dyDescent="0.25">
      <c r="A10" s="4"/>
    </row>
    <row r="11" spans="1:20" s="7" customFormat="1" x14ac:dyDescent="0.25">
      <c r="A11" s="4"/>
    </row>
    <row r="12" spans="1:20" s="7" customFormat="1" x14ac:dyDescent="0.25">
      <c r="A12" s="4"/>
    </row>
    <row r="13" spans="1:20" s="7" customFormat="1" x14ac:dyDescent="0.25">
      <c r="A13" s="4"/>
    </row>
    <row r="14" spans="1:20" s="7" customFormat="1" x14ac:dyDescent="0.25">
      <c r="A14" s="4"/>
    </row>
    <row r="15" spans="1:20" s="7" customFormat="1" x14ac:dyDescent="0.25">
      <c r="A15" s="4"/>
    </row>
    <row r="16" spans="1:20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purl.org/dc/elements/1.1/"/>
    <ds:schemaRef ds:uri="http://purl.org/dc/terms/"/>
    <ds:schemaRef ds:uri="http://schemas.microsoft.com/office/infopath/2007/PartnerControls"/>
    <ds:schemaRef ds:uri="851b35d3-0456-4d6a-bc2f-da927e91d158"/>
    <ds:schemaRef ds:uri="http://schemas.microsoft.com/office/2006/documentManagement/types"/>
    <ds:schemaRef ds:uri="http://schemas.openxmlformats.org/package/2006/metadata/core-properties"/>
    <ds:schemaRef ds:uri="19483571-f922-4e8e-9c1c-26f0a2252132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Detalhes1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Gabriela Santos</cp:lastModifiedBy>
  <dcterms:created xsi:type="dcterms:W3CDTF">2024-12-19T13:13:10Z</dcterms:created>
  <dcterms:modified xsi:type="dcterms:W3CDTF">2026-10-01T23:15:50Z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